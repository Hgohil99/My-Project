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ER" sheetId="1" r:id="rId5"/>
  </sheets>
  <definedNames>
    <definedName localSheetId="0" name="LifePerEdge_E">CTER!$F$39</definedName>
    <definedName name="NumberofIndexes3_E">#REF!</definedName>
    <definedName localSheetId="0" name="OrderCode_M">CTER!$L$18</definedName>
    <definedName name="Coolant_M">#REF!</definedName>
    <definedName localSheetId="0" name="MachineType">CTER!$B$12</definedName>
    <definedName name="Geometry2_E">#REF!</definedName>
    <definedName name="MarketingPartner">#REF!</definedName>
    <definedName localSheetId="0" name="TotalCostSaving_E">CTER!$F$51</definedName>
    <definedName name="PocketsinBody1_M">#REF!</definedName>
    <definedName name="AnnualisedSavings_E">#REF!</definedName>
    <definedName name="Coolant_E">#REF!</definedName>
    <definedName localSheetId="0" name="LHorRH_M">CTER!$L$20</definedName>
    <definedName localSheetId="0" name="SampleRef">CTER!$B$3</definedName>
    <definedName name="CuttingSpeed_M">#REF!</definedName>
    <definedName localSheetId="0" name="SalesEngineer">CTER!$K$2</definedName>
    <definedName name="ProductivityImproved_M">#REF!</definedName>
    <definedName localSheetId="0" name="Insert1_E">CTER!$F$21</definedName>
    <definedName name="Insert3_E">#REF!</definedName>
    <definedName name="NonPerformance_E">#REF!</definedName>
    <definedName name="Geometry3_M">#REF!</definedName>
    <definedName name="LastCell">#REF!</definedName>
    <definedName name="IndexCriteriaText">#REF!</definedName>
    <definedName name="EffectiveEdges_E">#REF!</definedName>
    <definedName localSheetId="0" name="LifeInIndexes_M">CTER!$L$43</definedName>
    <definedName name="ReverseReaming_M">#REF!</definedName>
    <definedName localSheetId="0" name="TotalCostTitle">CTER!$A$50</definedName>
    <definedName name="LHorRH_E">#REF!</definedName>
    <definedName localSheetId="0" name="CutDepth_E">CTER!$F$32</definedName>
    <definedName localSheetId="0" name="NumberofIndexes1_M">CTER!$L$24</definedName>
    <definedName localSheetId="0" name="Currency">CTER!$E$14</definedName>
    <definedName name="CuttingSpeed_E">#REF!</definedName>
    <definedName name="Insert3_M">#REF!</definedName>
    <definedName name="Currency">#REF!</definedName>
    <definedName name="SavinginToolCost_E">#REF!</definedName>
    <definedName name="CutLength_M">#REF!</definedName>
    <definedName name="ThruCoolantAfterMounting_M">#REF!</definedName>
    <definedName name="SalesEngineer">#REF!</definedName>
    <definedName name="TotalCostPerComp_M">#REF!</definedName>
    <definedName name="ToolHolding">#REF!</definedName>
    <definedName name="NumberofIndexes2_E">#REF!</definedName>
    <definedName name="IndexingCriteria_M">#REF!</definedName>
    <definedName localSheetId="0" name="ToolCostPerComponent_M">CTER!$L$45</definedName>
    <definedName name="Insert3Cost_M">#REF!</definedName>
    <definedName localSheetId="0" name="NumberofIndexes1_E">CTER!$F$24</definedName>
    <definedName name="NumberofIndexes1_M">#REF!</definedName>
    <definedName name="LinearFeed_E">#REF!</definedName>
    <definedName name="AnnualisedSavings_M">#REF!</definedName>
    <definedName localSheetId="0" name="LDRatio_E">CTER!$F$25</definedName>
    <definedName localSheetId="0" name="Hardness">CTER!$B$10</definedName>
    <definedName name="NumberofIndexes2_M">#REF!</definedName>
    <definedName localSheetId="0" name="Grade1_M">CTER!$L$23</definedName>
    <definedName localSheetId="0" name="CutLength_E">CTER!$F$33</definedName>
    <definedName name="LDRatio_M">#REF!</definedName>
    <definedName name="TestDate">#REF!</definedName>
    <definedName localSheetId="0" name="CustomerName">CTER!$B$4</definedName>
    <definedName name="Insert1_M">#REF!</definedName>
    <definedName name="kappa_E">#REF!</definedName>
    <definedName name="FeedPerRev_E">#REF!</definedName>
    <definedName name="MachineInterface">#REF!</definedName>
    <definedName name="LifePerEdge_E">#REF!</definedName>
    <definedName name="RunOut_M">#REF!</definedName>
    <definedName localSheetId="0" name="BodyCost_E">CTER!$F$42</definedName>
    <definedName name="Grade2_E">#REF!</definedName>
    <definedName name="Passes_M">#REF!</definedName>
    <definedName localSheetId="0" name="IndexCriteriaText">CTER!$A$40</definedName>
    <definedName localSheetId="0" name="Geometry1_E">CTER!$F$22</definedName>
    <definedName localSheetId="0" name="HourlyRate">CTER!$B$14</definedName>
    <definedName localSheetId="0" name="CycleTimeUnits">CTER!$D$47</definedName>
    <definedName name="LifeInIndexes_E">#REF!</definedName>
    <definedName name="ChartBegin">#REF!</definedName>
    <definedName localSheetId="0" name="MachineInterface">CTER!$B$15</definedName>
    <definedName name="CycleTimeUnits">#REF!</definedName>
    <definedName name="EconomicBegin">#REF!</definedName>
    <definedName name="MachineCostPerComp_M">#REF!</definedName>
    <definedName localSheetId="0" name="TestDate">CTER!$A$2</definedName>
    <definedName name="HelixAngle_E">#REF!</definedName>
    <definedName localSheetId="0" name="IndexingCriteria_M">CTER!$L$40</definedName>
    <definedName name="kappa_M">#REF!</definedName>
    <definedName localSheetId="0" name="CutDepth_M">CTER!$L$32</definedName>
    <definedName localSheetId="0" name="IndexingCriteria_E">CTER!$F$40</definedName>
    <definedName name="NumberofIndexes3_M">#REF!</definedName>
    <definedName name="HourlyRate">#REF!</definedName>
    <definedName localSheetId="0" name="CutLength_M">CTER!$L$33</definedName>
    <definedName name="ToolCostPerComponent_E">#REF!</definedName>
    <definedName localSheetId="0" name="LifePerEdge_M">CTER!$L$39</definedName>
    <definedName name="Insert1_E">#REF!</definedName>
    <definedName name="PSG">#REF!</definedName>
    <definedName name="PocketsinBody2_M">#REF!</definedName>
    <definedName localSheetId="0" name="ChartBegin">CTER!$A$62</definedName>
    <definedName name="CutWidth_E">#REF!</definedName>
    <definedName name="InternalCoolantPressure_M">#REF!</definedName>
    <definedName name="HoleType_M">#REF!</definedName>
    <definedName localSheetId="0" name="ConsumptionPerMonth">CTER!$T$2</definedName>
    <definedName name="HoleType_E">#REF!</definedName>
    <definedName name="PocketsinBody3_E">#REF!</definedName>
    <definedName name="ProductivityImproved_E">#REF!</definedName>
    <definedName name="ToolCostPerComponent_M">#REF!</definedName>
    <definedName name="ConsumptionPerMonth">#REF!</definedName>
    <definedName localSheetId="0" name="AnnualisedSavings_E">CTER!$F$52</definedName>
    <definedName localSheetId="0" name="TotalCutTime_E">CTER!$F$36</definedName>
    <definedName localSheetId="0" name="TotalCostPerComp_M">CTER!$L$50</definedName>
    <definedName name="Application">#REF!</definedName>
    <definedName name="DrawingNumber">#REF!</definedName>
    <definedName name="LinearFeed_M">#REF!</definedName>
    <definedName name="Insert1Cost_M">#REF!</definedName>
    <definedName name="LHorRH_M">#REF!</definedName>
    <definedName name="ProductivityTitle">#REF!</definedName>
    <definedName name="Geometry1_M">#REF!</definedName>
    <definedName name="EconomicCriteria">#REF!</definedName>
    <definedName name="GageLength_M">#REF!</definedName>
    <definedName localSheetId="0" name="Material">CTER!$B$9</definedName>
    <definedName name="Grade2_M">#REF!</definedName>
    <definedName name="EffectiveEdges_M">#REF!</definedName>
    <definedName name="Hardness">#REF!</definedName>
    <definedName name="MachineType">#REF!</definedName>
    <definedName name="ClampingPressure_M">#REF!</definedName>
    <definedName localSheetId="0" name="CycleTimeTitle">CTER!$A$47</definedName>
    <definedName localSheetId="0" name="CutDia_M">CTER!$L$19</definedName>
    <definedName localSheetId="0" name="MachineCostSaving_E">CTER!$F$49</definedName>
    <definedName name="ResharpningCost_E">#REF!</definedName>
    <definedName localSheetId="0" name="MachineCostPerComp_E">CTER!$F$48</definedName>
    <definedName localSheetId="0" name="ProductivityImproved_E">CTER!$F$54</definedName>
    <definedName localSheetId="0" name="MachineCostPerComp_M">CTER!$L$48</definedName>
    <definedName name="PocketsinBody3_M">#REF!</definedName>
    <definedName localSheetId="0" name="BodyCost_M">CTER!$L$42</definedName>
    <definedName name="GageLength_E">#REF!</definedName>
    <definedName localSheetId="0" name="AcceptanceCriteria">CTER!$R$18</definedName>
    <definedName name="HelixAngle_M">#REF!</definedName>
    <definedName name="Insert1Cost_E">#REF!</definedName>
    <definedName localSheetId="0" name="Rotations_E">CTER!$F$28</definedName>
    <definedName name="Chattering_M">#REF!</definedName>
    <definedName name="StockRemoval_M">#REF!</definedName>
    <definedName localSheetId="0" name="kappa_M">CTER!$L$26</definedName>
    <definedName name="CoolantConcentration_M">#REF!</definedName>
    <definedName localSheetId="0" name="Geometry1_M">CTER!$L$22</definedName>
    <definedName name="AnnualSavingTitle">#REF!</definedName>
    <definedName name="Geometry2_M">#REF!</definedName>
    <definedName name="ToolCostTitle">#REF!</definedName>
    <definedName name="LineMarks_M">#REF!</definedName>
    <definedName name="MachineMake">#REF!</definedName>
    <definedName localSheetId="0" name="TotalCostSaving_M">CTER!$L$51</definedName>
    <definedName localSheetId="0" name="ToolLifeTitle">CTER!$A$39</definedName>
    <definedName name="ResharpningCost_M">#REF!</definedName>
    <definedName name="HardnessScale">#REF!</definedName>
    <definedName name="Insert2Cost_E">#REF!</definedName>
    <definedName name="Resharpnings_M">#REF!</definedName>
    <definedName name="CutDia_E">#REF!</definedName>
    <definedName name="Insert3Cost_E">#REF!</definedName>
    <definedName name="HoursSavedPerYear_E">#REF!</definedName>
    <definedName localSheetId="0" name="ProductivityTitle">CTER!$A$54</definedName>
    <definedName name="HoursSavedPerYear_M">#REF!</definedName>
    <definedName localSheetId="0" name="OrderCode_E">CTER!$F$18</definedName>
    <definedName name="ChamferBeforeReaming_M">#REF!</definedName>
    <definedName name="RunOut_E">#REF!</definedName>
    <definedName name="AcceptanceCriteria">#REF!</definedName>
    <definedName name="LifeUnits">#REF!</definedName>
    <definedName localSheetId="0" name="MachineCostTitle">CTER!$A$48</definedName>
    <definedName name="CuttingCondition_E">#REF!</definedName>
    <definedName localSheetId="0" name="LHorRH_E">CTER!$F$20</definedName>
    <definedName localSheetId="0" name="Insert1_M">CTER!$L$21</definedName>
    <definedName localSheetId="0" name="Grade1_E">CTER!$F$23</definedName>
    <definedName name="Grade1_M">#REF!</definedName>
    <definedName name="FeedPerTooth_E">#REF!</definedName>
    <definedName name="BodyCost_E">#REF!</definedName>
    <definedName localSheetId="0" name="ToolCostTitle">CTER!$A$45</definedName>
    <definedName localSheetId="0" name="AnnualisedSavings_M">CTER!$L$52</definedName>
    <definedName name="NonPerformance_M">#REF!</definedName>
    <definedName name="ToolLifeTitle">#REF!</definedName>
    <definedName name="Component">#REF!</definedName>
    <definedName localSheetId="0" name="CustomerCode">CTER!$B$5</definedName>
    <definedName name="Margins_M">#REF!</definedName>
    <definedName localSheetId="0" name="ToolCostPerComponent_E">CTER!$F$45</definedName>
    <definedName localSheetId="0" name="Coolant_M">CTER!$L$38</definedName>
    <definedName name="PocketsinBody2_E">#REF!</definedName>
    <definedName name="CustomerName">#REF!</definedName>
    <definedName name="IndexingCriteria_E">#REF!</definedName>
    <definedName localSheetId="0" name="TotalCutTime_M">CTER!$L$36</definedName>
    <definedName name="BatchNo_M">#REF!</definedName>
    <definedName localSheetId="0" name="HardnessScale">CTER!$E$10</definedName>
    <definedName name="CuttingCondition_M">#REF!</definedName>
    <definedName name="Insert2_E">#REF!</definedName>
    <definedName name="Cylindricity_M">#REF!</definedName>
    <definedName name="PocketsinBody1_E">#REF!</definedName>
    <definedName name="FeedPerRev_M">#REF!</definedName>
    <definedName name="CycleTimeTitle">#REF!</definedName>
    <definedName name="NumberofIndexes1_E">#REF!</definedName>
    <definedName name="BodyCost_M">#REF!</definedName>
    <definedName localSheetId="0" name="MachineCostSaving_M">CTER!$L$49</definedName>
    <definedName name="LifeInIndexes_M">#REF!</definedName>
    <definedName localSheetId="0" name="SavinginCycleTime_M">CTER!$L$47</definedName>
    <definedName localSheetId="0" name="kappa_E">CTER!$F$26</definedName>
    <definedName name="MachineCostPerComp_E">#REF!</definedName>
    <definedName localSheetId="0" name="Rotations_M">CTER!$L$28</definedName>
    <definedName name="Geometry1_E">#REF!</definedName>
    <definedName localSheetId="0" name="CuttingCondition_M">CTER!$L$37</definedName>
    <definedName name="TotalCostSaving_E">#REF!</definedName>
    <definedName localSheetId="0" name="EconomicCriteria">CTER!$R$42</definedName>
    <definedName name="EntryChamfer_M">#REF!</definedName>
    <definedName localSheetId="0" name="EconomicBegin">CTER!$A$41</definedName>
    <definedName name="Grade3_M">#REF!</definedName>
    <definedName localSheetId="0" name="CuttingSpeed_M">CTER!$L$29</definedName>
    <definedName localSheetId="0" name="DrawingNumber">CTER!$B$7</definedName>
    <definedName localSheetId="0" name="Application">CTER!$B$8</definedName>
    <definedName name="CutWidth_M">#REF!</definedName>
    <definedName name="Material">#REF!</definedName>
    <definedName name="CustomerCode">#REF!</definedName>
    <definedName localSheetId="0" name="LifeInIndexes_E">CTER!$F$43</definedName>
    <definedName localSheetId="0" name="PreparedBy">CTER!$F$2</definedName>
    <definedName name="Geometry3_E">#REF!</definedName>
    <definedName localSheetId="0" name="Passes_E">CTER!$F$34</definedName>
    <definedName localSheetId="0" name="LDRatio_M">CTER!$L$25</definedName>
    <definedName localSheetId="0" name="Component">CTER!$B$6</definedName>
    <definedName name="OrderCode_M">#REF!</definedName>
    <definedName name="SizeMeasured_M">#REF!</definedName>
    <definedName name="TotalCostSaving_M">#REF!</definedName>
    <definedName localSheetId="0" name="PSG">CTER!$A$1</definedName>
    <definedName name="MachineCostSaving_E">#REF!</definedName>
    <definedName name="PilotingDia_M">#REF!</definedName>
    <definedName localSheetId="0" name="AnnualSavingTitle">CTER!$A$52</definedName>
    <definedName name="CutLength_E">#REF!</definedName>
    <definedName localSheetId="0" name="CuttingCondition_E">CTER!$F$37</definedName>
    <definedName localSheetId="0" name="Coolant_E">CTER!$F$38</definedName>
    <definedName name="TotalCutTime_M">#REF!</definedName>
    <definedName name="ReamingCast_M">#REF!</definedName>
    <definedName name="Margins_E">#REF!</definedName>
    <definedName name="TolOnDc_E">#REF!</definedName>
    <definedName name="BatchNo_E">#REF!</definedName>
    <definedName name="TolOnDc_M">#REF!</definedName>
    <definedName localSheetId="0" name="LifeUnits">CTER!$D$39</definedName>
    <definedName name="Insert2_M">#REF!</definedName>
    <definedName name="SavinginToolCost_M">#REF!</definedName>
    <definedName name="ISO">#REF!</definedName>
    <definedName name="PreparedBy">#REF!</definedName>
    <definedName localSheetId="0" name="TimePerPass_E">CTER!$F$35</definedName>
    <definedName localSheetId="0" name="SavinginCycleTime_E">CTER!$F$47</definedName>
    <definedName localSheetId="0" name="LinearFeed_M">CTER!$L$30</definedName>
    <definedName localSheetId="0" name="FeedPerRev_E">CTER!$F$31</definedName>
    <definedName localSheetId="0" name="HoursSavedPerYear_M">CTER!$L$53</definedName>
    <definedName name="Grade3_E">#REF!</definedName>
    <definedName localSheetId="0" name="HoursSavedPerYear_E">CTER!$F$53</definedName>
    <definedName name="LDRatio_E">#REF!</definedName>
    <definedName localSheetId="0" name="SavinginToolCost_M">CTER!$L$46</definedName>
    <definedName localSheetId="0" name="MarketingPartner">CTER!$P$2</definedName>
    <definedName localSheetId="0" name="TotalCostPerComp_E">CTER!$F$50</definedName>
    <definedName localSheetId="0" name="LastCell">CTER!$A$120</definedName>
    <definedName name="TimePerPass_M">#REF!</definedName>
    <definedName localSheetId="0" name="ProductionPerMonth">CTER!$B$11</definedName>
    <definedName name="MachineCostSaving_M">#REF!</definedName>
    <definedName localSheetId="0" name="FeedPerRev_M">CTER!$L$31</definedName>
    <definedName name="CutDia_M">#REF!</definedName>
    <definedName name="CutDepth_M">#REF!</definedName>
    <definedName name="TotalCutTime_E">#REF!</definedName>
    <definedName name="SavinginCycleTime_M">#REF!</definedName>
    <definedName name="PreOperation_M">#REF!</definedName>
    <definedName name="Passes_E">#REF!</definedName>
    <definedName localSheetId="0" name="TimePerPass_M">CTER!$L$35</definedName>
    <definedName name="Rotations_M">#REF!</definedName>
    <definedName name="OrderCode_E">#REF!</definedName>
    <definedName localSheetId="0" name="ProductivityImproved_M">CTER!$L$54</definedName>
    <definedName name="SavinginCycleTime_E">#REF!</definedName>
    <definedName name="Insert2Cost_M">#REF!</definedName>
    <definedName name="ProductionPerMonth">#REF!</definedName>
    <definedName name="Grade1_E">#REF!</definedName>
    <definedName name="TimePerPass_E">#REF!</definedName>
    <definedName name="Ovality_M">#REF!</definedName>
    <definedName name="SampleRef">#REF!</definedName>
    <definedName localSheetId="0" name="ToolHolding">CTER!$B$16</definedName>
    <definedName localSheetId="0" name="CutDia_E">CTER!$F$19</definedName>
    <definedName name="Resharpnings_E">#REF!</definedName>
    <definedName localSheetId="0" name="LinearFeed_E">CTER!$F$30</definedName>
    <definedName name="FeedPerTooth_M">#REF!</definedName>
    <definedName localSheetId="0" name="SavinginToolCost_E">CTER!$F$46</definedName>
    <definedName localSheetId="0" name="Insert1Cost_E">CTER!$F$44</definedName>
    <definedName name="MachineCostTitle">#REF!</definedName>
    <definedName name="TotalCostPerComp_E">#REF!</definedName>
    <definedName localSheetId="0" name="CuttingSpeed_E">CTER!$F$29</definedName>
    <definedName name="Clamping_M">#REF!</definedName>
    <definedName name="TotalCostTitle">#REF!</definedName>
    <definedName localSheetId="0" name="Passes_M">CTER!$L$34</definedName>
    <definedName name="LifePerEdge_M">#REF!</definedName>
    <definedName localSheetId="0" name="ISO">CTER!$E$9</definedName>
    <definedName name="CutDepth_E">#REF!</definedName>
    <definedName name="Perpandicularity_M">#REF!</definedName>
    <definedName localSheetId="0" name="Insert1Cost_M">CTER!$L$44</definedName>
    <definedName localSheetId="0" name="MachineMake">CTER!$B$13</definedName>
    <definedName name="Rotations_E">#REF!</definedName>
  </definedNames>
  <calcPr/>
</workbook>
</file>

<file path=xl/sharedStrings.xml><?xml version="1.0" encoding="utf-8"?>
<sst xmlns="http://schemas.openxmlformats.org/spreadsheetml/2006/main" count="99" uniqueCount="83">
  <si>
    <t>TA-Turning</t>
  </si>
  <si>
    <t>Cutting Tool Evaluation Report</t>
  </si>
  <si>
    <t>Author</t>
  </si>
  <si>
    <t>FSE</t>
  </si>
  <si>
    <t>MP Code</t>
  </si>
  <si>
    <t>CPM</t>
  </si>
  <si>
    <t>Development ID</t>
  </si>
  <si>
    <t>Customer</t>
  </si>
  <si>
    <t>EndCustomer Code</t>
  </si>
  <si>
    <t>Component</t>
  </si>
  <si>
    <t>Drawing Number</t>
  </si>
  <si>
    <t>Machining Operation</t>
  </si>
  <si>
    <t>Select Application</t>
  </si>
  <si>
    <t>Material</t>
  </si>
  <si>
    <t>Select</t>
  </si>
  <si>
    <t>Hardness</t>
  </si>
  <si>
    <t>Production/Month</t>
  </si>
  <si>
    <t>Machine Type</t>
  </si>
  <si>
    <t>Machine Make</t>
  </si>
  <si>
    <t>Hourly Rate</t>
  </si>
  <si>
    <t>INR</t>
  </si>
  <si>
    <t>Machine Interface</t>
  </si>
  <si>
    <t>Tool Holding</t>
  </si>
  <si>
    <t>Tool Details</t>
  </si>
  <si>
    <t>Units</t>
  </si>
  <si>
    <t>Existing</t>
  </si>
  <si>
    <t>Motherson</t>
  </si>
  <si>
    <t>Acceptance Criteria</t>
  </si>
  <si>
    <t>Body/Tool Order Code</t>
  </si>
  <si>
    <t>Job Diameter(D)</t>
  </si>
  <si>
    <t>mm</t>
  </si>
  <si>
    <t>Hand (LH or RH)</t>
  </si>
  <si>
    <t>Right Hand</t>
  </si>
  <si>
    <t>Primary Insert #1 Order Code</t>
  </si>
  <si>
    <t>Geometry</t>
  </si>
  <si>
    <t>Grade</t>
  </si>
  <si>
    <t>Number of Indexes</t>
  </si>
  <si>
    <t>Nos</t>
  </si>
  <si>
    <t>L/D Ratio</t>
  </si>
  <si>
    <t>Approach Angle</t>
  </si>
  <si>
    <t>°</t>
  </si>
  <si>
    <t>Test and Cutting Data</t>
  </si>
  <si>
    <t>RPM(N)</t>
  </si>
  <si>
    <r>
      <rPr>
        <rFont val="Arial"/>
        <color theme="1"/>
        <sz val="10.0"/>
      </rPr>
      <t>min</t>
    </r>
    <r>
      <rPr>
        <rFont val="Arial"/>
        <color theme="1"/>
        <sz val="10.0"/>
        <vertAlign val="superscript"/>
      </rPr>
      <t>-1</t>
    </r>
  </si>
  <si>
    <t>Cutting Speed(m/min) (Vc)</t>
  </si>
  <si>
    <t>m/min</t>
  </si>
  <si>
    <t>Linear Feed (Vf)</t>
  </si>
  <si>
    <t>mm/min</t>
  </si>
  <si>
    <t>Feed per Rev. (fn)</t>
  </si>
  <si>
    <t>mm/rev</t>
  </si>
  <si>
    <t>Axial Depth of Cut (ap)</t>
  </si>
  <si>
    <t>Length of cut / pass</t>
  </si>
  <si>
    <t>No. of Passes</t>
  </si>
  <si>
    <t>Cut time per pass</t>
  </si>
  <si>
    <t>Sec</t>
  </si>
  <si>
    <t>Total Cut Time</t>
  </si>
  <si>
    <t>Cutting Condition</t>
  </si>
  <si>
    <t>Coolant</t>
  </si>
  <si>
    <t>Tool Life per edge (edge set)</t>
  </si>
  <si>
    <t>Components</t>
  </si>
  <si>
    <t>Indexing / change criteria</t>
  </si>
  <si>
    <t>Economic Comparison</t>
  </si>
  <si>
    <t>Economy and Productivity Criteria</t>
  </si>
  <si>
    <t>Cost of Tool/Body</t>
  </si>
  <si>
    <t>Body life in number of indexes</t>
  </si>
  <si>
    <t>Insert 1 Cost</t>
  </si>
  <si>
    <t>Tool cost per component</t>
  </si>
  <si>
    <t>Saving in Tool Cost</t>
  </si>
  <si>
    <t>Saving in cycle time</t>
  </si>
  <si>
    <t>Machine cost per component</t>
  </si>
  <si>
    <t>Saving in Machine cost</t>
  </si>
  <si>
    <t>Total cost per component</t>
  </si>
  <si>
    <t>Saving in Total cost per component</t>
  </si>
  <si>
    <t>Annualised savings</t>
  </si>
  <si>
    <t>Saving in hours per year</t>
  </si>
  <si>
    <t>Hours</t>
  </si>
  <si>
    <t>Productivity Improved</t>
  </si>
  <si>
    <t>%</t>
  </si>
  <si>
    <t>Remarks</t>
  </si>
  <si>
    <t>(Engineer Signature)</t>
  </si>
  <si>
    <t>(Customer Signature)</t>
  </si>
  <si>
    <t>Tool Life &amp; Cost Comparison</t>
  </si>
  <si>
    <t>Key Parameters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</si>
</sst>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d\-mmm\-yy"/>
    <numFmt numFmtId="165" formatCode="0.000"/>
  </numFmts>
  <fonts count="10">
    <font>
      <sz val="11.0"/>
      <color theme="1"/>
      <name val="Calibri"/>
      <scheme val="minor"/>
    </font>
    <font>
      <b/>
      <sz val="10.0"/>
      <color theme="1"/>
      <name val="Arial"/>
    </font>
    <font/>
    <font>
      <b/>
      <sz val="20.0"/>
      <color theme="1"/>
      <name val="Arial"/>
    </font>
    <font>
      <b/>
      <sz val="16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4.0"/>
      <color theme="1"/>
      <name val="Arial"/>
    </font>
    <font>
      <sz val="2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5F5F5F"/>
        <bgColor rgb="FF5F5F5F"/>
      </patternFill>
    </fill>
  </fills>
  <borders count="4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5" fillId="0" fontId="2" numFmtId="0" xfId="0" applyBorder="1" applyFont="1"/>
    <xf borderId="6" fillId="2" fontId="5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1" fillId="0" fontId="1" numFmtId="16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7" fillId="0" fontId="5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5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6" fillId="3" fontId="5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5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3" fontId="7" numFmtId="0" xfId="0" applyAlignment="1" applyBorder="1" applyFont="1">
      <alignment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2" fillId="3" fontId="7" numFmtId="0" xfId="0" applyAlignment="1" applyBorder="1" applyFont="1">
      <alignment shrinkToFit="0" vertical="center" wrapText="1"/>
    </xf>
    <xf borderId="21" fillId="3" fontId="5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5" numFmtId="0" xfId="0" applyAlignment="1" applyBorder="1" applyFont="1">
      <alignment horizontal="left" shrinkToFit="0" vertical="center" wrapText="1"/>
    </xf>
    <xf borderId="25" fillId="0" fontId="5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1" fillId="4" fontId="5" numFmtId="0" xfId="0" applyAlignment="1" applyBorder="1" applyFill="1" applyFont="1">
      <alignment horizontal="left" shrinkToFit="0" vertical="center" wrapText="1"/>
    </xf>
    <xf borderId="31" fillId="0" fontId="2" numFmtId="0" xfId="0" applyBorder="1" applyFont="1"/>
    <xf borderId="4" fillId="4" fontId="5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center" vertical="center"/>
    </xf>
    <xf borderId="33" fillId="0" fontId="2" numFmtId="0" xfId="0" applyBorder="1" applyFont="1"/>
    <xf borderId="8" fillId="0" fontId="5" numFmtId="0" xfId="0" applyAlignment="1" applyBorder="1" applyFont="1">
      <alignment horizontal="center" vertical="center"/>
    </xf>
    <xf borderId="34" fillId="0" fontId="5" numFmtId="0" xfId="0" applyAlignment="1" applyBorder="1" applyFont="1">
      <alignment horizontal="center" shrinkToFit="0" vertical="center" wrapText="1"/>
    </xf>
    <xf borderId="35" fillId="0" fontId="5" numFmtId="0" xfId="0" applyAlignment="1" applyBorder="1" applyFont="1">
      <alignment horizontal="left" vertical="center"/>
    </xf>
    <xf borderId="20" fillId="0" fontId="5" numFmtId="0" xfId="0" applyAlignment="1" applyBorder="1" applyFont="1">
      <alignment horizontal="center" vertical="center"/>
    </xf>
    <xf borderId="20" fillId="0" fontId="5" numFmtId="165" xfId="0" applyAlignment="1" applyBorder="1" applyFont="1" applyNumberFormat="1">
      <alignment horizontal="center" vertical="center"/>
    </xf>
    <xf borderId="19" fillId="0" fontId="5" numFmtId="165" xfId="0" applyAlignment="1" applyBorder="1" applyFont="1" applyNumberFormat="1">
      <alignment horizontal="center" vertical="center"/>
    </xf>
    <xf borderId="36" fillId="0" fontId="2" numFmtId="0" xfId="0" applyBorder="1" applyFont="1"/>
    <xf borderId="37" fillId="3" fontId="5" numFmtId="0" xfId="0" applyAlignment="1" applyBorder="1" applyFont="1">
      <alignment horizontal="center" vertical="center"/>
    </xf>
    <xf borderId="19" fillId="3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35" fillId="0" fontId="5" numFmtId="0" xfId="0" applyAlignment="1" applyBorder="1" applyFont="1">
      <alignment horizontal="right" vertical="center"/>
    </xf>
    <xf borderId="9" fillId="0" fontId="5" numFmtId="1" xfId="0" applyAlignment="1" applyBorder="1" applyFont="1" applyNumberFormat="1">
      <alignment horizontal="center" vertical="center"/>
    </xf>
    <xf borderId="20" fillId="0" fontId="5" numFmtId="1" xfId="0" applyAlignment="1" applyBorder="1" applyFont="1" applyNumberFormat="1">
      <alignment horizontal="center" vertical="center"/>
    </xf>
    <xf borderId="9" fillId="0" fontId="5" numFmtId="2" xfId="0" applyAlignment="1" applyBorder="1" applyFont="1" applyNumberFormat="1">
      <alignment horizontal="center" vertical="center"/>
    </xf>
    <xf borderId="20" fillId="0" fontId="5" numFmtId="2" xfId="0" applyAlignment="1" applyBorder="1" applyFont="1" applyNumberFormat="1">
      <alignment horizontal="center" vertical="center"/>
    </xf>
    <xf borderId="35" fillId="5" fontId="5" numFmtId="0" xfId="0" applyAlignment="1" applyBorder="1" applyFill="1" applyFont="1">
      <alignment horizontal="left" vertical="center"/>
    </xf>
    <xf borderId="38" fillId="0" fontId="2" numFmtId="0" xfId="0" applyBorder="1" applyFont="1"/>
    <xf borderId="37" fillId="5" fontId="5" numFmtId="0" xfId="0" applyAlignment="1" applyBorder="1" applyFont="1">
      <alignment horizontal="center" vertical="center"/>
    </xf>
    <xf borderId="34" fillId="0" fontId="5" numFmtId="0" xfId="0" applyAlignment="1" applyBorder="1" applyFont="1">
      <alignment horizontal="center" vertical="center"/>
    </xf>
    <xf borderId="37" fillId="6" fontId="5" numFmtId="0" xfId="0" applyAlignment="1" applyBorder="1" applyFill="1" applyFont="1">
      <alignment horizontal="center" vertical="center"/>
    </xf>
    <xf borderId="20" fillId="0" fontId="5" numFmtId="9" xfId="0" applyAlignment="1" applyBorder="1" applyFont="1" applyNumberFormat="1">
      <alignment horizontal="center" vertical="center"/>
    </xf>
    <xf borderId="8" fillId="0" fontId="2" numFmtId="0" xfId="0" applyBorder="1" applyFont="1"/>
    <xf borderId="39" fillId="0" fontId="2" numFmtId="0" xfId="0" applyBorder="1" applyFont="1"/>
    <xf borderId="40" fillId="0" fontId="8" numFmtId="0" xfId="0" applyAlignment="1" applyBorder="1" applyFont="1">
      <alignment horizontal="left" shrinkToFit="0" vertical="top" wrapText="1"/>
    </xf>
    <xf borderId="26" fillId="0" fontId="5" numFmtId="0" xfId="0" applyAlignment="1" applyBorder="1" applyFont="1">
      <alignment horizontal="center"/>
    </xf>
    <xf borderId="41" fillId="0" fontId="2" numFmtId="0" xfId="0" applyBorder="1" applyFont="1"/>
    <xf borderId="0" fillId="0" fontId="5" numFmtId="0" xfId="0" applyAlignment="1" applyFont="1">
      <alignment horizontal="center"/>
    </xf>
    <xf borderId="0" fillId="0" fontId="8" numFmtId="0" xfId="0" applyAlignment="1" applyFont="1">
      <alignment horizontal="left" vertical="top"/>
    </xf>
    <xf borderId="10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theme="0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6.png"/><Relationship Id="rId6" Type="http://schemas.openxmlformats.org/officeDocument/2006/relationships/image" Target="../media/image8.png"/><Relationship Id="rId7" Type="http://schemas.openxmlformats.org/officeDocument/2006/relationships/image" Target="../media/image1.jpg"/><Relationship Id="rId8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142875</xdr:colOff>
      <xdr:row>2</xdr:row>
      <xdr:rowOff>0</xdr:rowOff>
    </xdr:from>
    <xdr:ext cx="2286000" cy="1657350"/>
    <xdr:sp>
      <xdr:nvSpPr>
        <xdr:cNvPr id="3" name="Shape 3"/>
        <xdr:cNvSpPr txBox="1"/>
      </xdr:nvSpPr>
      <xdr:spPr>
        <a:xfrm>
          <a:off x="4207763" y="2956088"/>
          <a:ext cx="2276475" cy="1647825"/>
        </a:xfrm>
        <a:prstGeom prst="rect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Calibri"/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15</xdr:col>
      <xdr:colOff>276225</xdr:colOff>
      <xdr:row>2</xdr:row>
      <xdr:rowOff>0</xdr:rowOff>
    </xdr:from>
    <xdr:ext cx="2266950" cy="1647825"/>
    <xdr:sp>
      <xdr:nvSpPr>
        <xdr:cNvPr id="4" name="Shape 4"/>
        <xdr:cNvSpPr txBox="1"/>
      </xdr:nvSpPr>
      <xdr:spPr>
        <a:xfrm>
          <a:off x="4217288" y="2960850"/>
          <a:ext cx="2257425" cy="1638300"/>
        </a:xfrm>
        <a:prstGeom prst="rect">
          <a:avLst/>
        </a:prstGeom>
        <a:blipFill rotWithShape="1">
          <a:blip r:embed="rId2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Calibri"/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2286000" cy="1647825"/>
    <xdr:sp>
      <xdr:nvSpPr>
        <xdr:cNvPr id="5" name="Shape 5"/>
        <xdr:cNvSpPr txBox="1"/>
      </xdr:nvSpPr>
      <xdr:spPr>
        <a:xfrm>
          <a:off x="4207763" y="2960850"/>
          <a:ext cx="2276475" cy="1638300"/>
        </a:xfrm>
        <a:prstGeom prst="rect">
          <a:avLst/>
        </a:prstGeom>
        <a:blipFill rotWithShape="1">
          <a:blip r:embed="rId3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Calibri"/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142875</xdr:colOff>
      <xdr:row>8</xdr:row>
      <xdr:rowOff>219075</xdr:rowOff>
    </xdr:from>
    <xdr:ext cx="2286000" cy="1666875"/>
    <xdr:sp>
      <xdr:nvSpPr>
        <xdr:cNvPr id="6" name="Shape 6"/>
        <xdr:cNvSpPr txBox="1"/>
      </xdr:nvSpPr>
      <xdr:spPr>
        <a:xfrm>
          <a:off x="4207763" y="2951325"/>
          <a:ext cx="2276475" cy="1657350"/>
        </a:xfrm>
        <a:prstGeom prst="rect">
          <a:avLst/>
        </a:prstGeom>
        <a:blipFill rotWithShape="1">
          <a:blip r:embed="rId4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15</xdr:col>
      <xdr:colOff>276225</xdr:colOff>
      <xdr:row>9</xdr:row>
      <xdr:rowOff>0</xdr:rowOff>
    </xdr:from>
    <xdr:ext cx="2266950" cy="1647825"/>
    <xdr:sp>
      <xdr:nvSpPr>
        <xdr:cNvPr id="7" name="Shape 7"/>
        <xdr:cNvSpPr txBox="1"/>
      </xdr:nvSpPr>
      <xdr:spPr>
        <a:xfrm>
          <a:off x="4217288" y="2960850"/>
          <a:ext cx="2257425" cy="1638300"/>
        </a:xfrm>
        <a:prstGeom prst="rect">
          <a:avLst/>
        </a:prstGeom>
        <a:blipFill rotWithShape="1">
          <a:blip r:embed="rId5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0</xdr:colOff>
      <xdr:row>8</xdr:row>
      <xdr:rowOff>219075</xdr:rowOff>
    </xdr:from>
    <xdr:ext cx="2286000" cy="1666875"/>
    <xdr:sp>
      <xdr:nvSpPr>
        <xdr:cNvPr id="8" name="Shape 8"/>
        <xdr:cNvSpPr txBox="1"/>
      </xdr:nvSpPr>
      <xdr:spPr>
        <a:xfrm>
          <a:off x="4207763" y="2951325"/>
          <a:ext cx="2276475" cy="1657350"/>
        </a:xfrm>
        <a:prstGeom prst="rect">
          <a:avLst/>
        </a:prstGeom>
        <a:blipFill rotWithShape="1">
          <a:blip r:embed="rId6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Calibri"/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17</xdr:col>
      <xdr:colOff>76200</xdr:colOff>
      <xdr:row>0</xdr:row>
      <xdr:rowOff>95250</xdr:rowOff>
    </xdr:from>
    <xdr:ext cx="1600200" cy="533400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62</xdr:row>
      <xdr:rowOff>76200</xdr:rowOff>
    </xdr:from>
    <xdr:ext cx="1600200" cy="523875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8.14"/>
    <col customWidth="1" min="2" max="5" width="6.14"/>
    <col customWidth="1" min="6" max="21" width="6.43"/>
    <col customWidth="1" min="22" max="22" width="0.43"/>
    <col customWidth="1" min="23" max="26" width="8.71"/>
  </cols>
  <sheetData>
    <row r="1" ht="57.0" customHeight="1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5"/>
      <c r="S1" s="2"/>
      <c r="T1" s="2"/>
      <c r="U1" s="6"/>
      <c r="V1" s="7"/>
      <c r="W1" s="8"/>
      <c r="X1" s="8"/>
      <c r="Y1" s="8"/>
      <c r="Z1" s="8"/>
    </row>
    <row r="2" ht="18.75" customHeight="1">
      <c r="A2" s="9">
        <v>46234.0</v>
      </c>
      <c r="B2" s="2"/>
      <c r="C2" s="6"/>
      <c r="D2" s="10" t="s">
        <v>2</v>
      </c>
      <c r="E2" s="2"/>
      <c r="F2" s="11"/>
      <c r="G2" s="2"/>
      <c r="H2" s="6"/>
      <c r="I2" s="12" t="s">
        <v>3</v>
      </c>
      <c r="J2" s="2"/>
      <c r="K2" s="11"/>
      <c r="L2" s="2"/>
      <c r="M2" s="6"/>
      <c r="N2" s="12" t="s">
        <v>4</v>
      </c>
      <c r="O2" s="2"/>
      <c r="P2" s="11"/>
      <c r="Q2" s="2"/>
      <c r="R2" s="2"/>
      <c r="S2" s="12" t="s">
        <v>5</v>
      </c>
      <c r="T2" s="13"/>
      <c r="U2" s="6"/>
      <c r="V2" s="14"/>
      <c r="W2" s="15"/>
      <c r="X2" s="15"/>
      <c r="Y2" s="15"/>
      <c r="Z2" s="15"/>
    </row>
    <row r="3" ht="18.75" customHeight="1">
      <c r="A3" s="16" t="s">
        <v>6</v>
      </c>
      <c r="B3" s="17"/>
      <c r="C3" s="18"/>
      <c r="D3" s="18"/>
      <c r="E3" s="18"/>
      <c r="F3" s="19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  <c r="V3" s="14"/>
      <c r="W3" s="15"/>
      <c r="X3" s="15"/>
      <c r="Y3" s="15"/>
      <c r="Z3" s="15"/>
    </row>
    <row r="4" ht="18.75" customHeight="1">
      <c r="A4" s="16" t="s">
        <v>7</v>
      </c>
      <c r="B4" s="17"/>
      <c r="C4" s="18"/>
      <c r="D4" s="18"/>
      <c r="E4" s="18"/>
      <c r="F4" s="22"/>
      <c r="U4" s="23"/>
      <c r="V4" s="7"/>
      <c r="W4" s="8"/>
      <c r="X4" s="8"/>
      <c r="Y4" s="8"/>
      <c r="Z4" s="8"/>
    </row>
    <row r="5" ht="18.75" customHeight="1">
      <c r="A5" s="24" t="s">
        <v>8</v>
      </c>
      <c r="B5" s="25"/>
      <c r="C5" s="18"/>
      <c r="D5" s="18"/>
      <c r="E5" s="18"/>
      <c r="F5" s="22"/>
      <c r="U5" s="23"/>
      <c r="V5" s="7"/>
      <c r="W5" s="8"/>
      <c r="X5" s="8"/>
      <c r="Y5" s="8"/>
      <c r="Z5" s="8"/>
    </row>
    <row r="6" ht="18.75" customHeight="1">
      <c r="A6" s="24" t="s">
        <v>9</v>
      </c>
      <c r="B6" s="17"/>
      <c r="C6" s="18"/>
      <c r="D6" s="18"/>
      <c r="E6" s="18"/>
      <c r="F6" s="22"/>
      <c r="U6" s="23"/>
      <c r="V6" s="7"/>
      <c r="W6" s="8"/>
      <c r="X6" s="8"/>
      <c r="Y6" s="8"/>
      <c r="Z6" s="8"/>
    </row>
    <row r="7" ht="18.75" customHeight="1">
      <c r="A7" s="24" t="s">
        <v>10</v>
      </c>
      <c r="B7" s="17"/>
      <c r="C7" s="18"/>
      <c r="D7" s="18"/>
      <c r="E7" s="18"/>
      <c r="F7" s="22"/>
      <c r="U7" s="23"/>
      <c r="V7" s="7"/>
      <c r="W7" s="8"/>
      <c r="X7" s="8"/>
      <c r="Y7" s="8"/>
      <c r="Z7" s="8"/>
    </row>
    <row r="8" ht="18.75" customHeight="1">
      <c r="A8" s="24" t="s">
        <v>11</v>
      </c>
      <c r="B8" s="26" t="s">
        <v>12</v>
      </c>
      <c r="C8" s="27"/>
      <c r="D8" s="27"/>
      <c r="E8" s="28"/>
      <c r="F8" s="22"/>
      <c r="U8" s="23"/>
      <c r="V8" s="7"/>
      <c r="W8" s="8"/>
      <c r="X8" s="8"/>
      <c r="Y8" s="8"/>
      <c r="Z8" s="8"/>
    </row>
    <row r="9" ht="18.75" customHeight="1">
      <c r="A9" s="24" t="s">
        <v>13</v>
      </c>
      <c r="B9" s="29"/>
      <c r="C9" s="30"/>
      <c r="D9" s="30"/>
      <c r="E9" s="31" t="s">
        <v>14</v>
      </c>
      <c r="F9" s="22"/>
      <c r="U9" s="23"/>
      <c r="V9" s="7"/>
      <c r="W9" s="8"/>
      <c r="X9" s="8"/>
      <c r="Y9" s="8"/>
      <c r="Z9" s="8"/>
    </row>
    <row r="10" ht="18.75" customHeight="1">
      <c r="A10" s="24" t="s">
        <v>15</v>
      </c>
      <c r="B10" s="32"/>
      <c r="C10" s="30"/>
      <c r="D10" s="30"/>
      <c r="E10" s="33" t="s">
        <v>14</v>
      </c>
      <c r="F10" s="22"/>
      <c r="U10" s="23"/>
      <c r="V10" s="7"/>
      <c r="W10" s="8"/>
      <c r="X10" s="8"/>
      <c r="Y10" s="8"/>
      <c r="Z10" s="8"/>
    </row>
    <row r="11" ht="18.75" customHeight="1">
      <c r="A11" s="24" t="s">
        <v>16</v>
      </c>
      <c r="B11" s="25">
        <v>0.0</v>
      </c>
      <c r="C11" s="18"/>
      <c r="D11" s="18"/>
      <c r="E11" s="18"/>
      <c r="F11" s="22"/>
      <c r="U11" s="23"/>
      <c r="V11" s="7"/>
      <c r="W11" s="8"/>
      <c r="X11" s="8"/>
      <c r="Y11" s="8"/>
      <c r="Z11" s="8"/>
    </row>
    <row r="12" ht="18.75" customHeight="1">
      <c r="A12" s="24" t="s">
        <v>17</v>
      </c>
      <c r="B12" s="25"/>
      <c r="C12" s="18"/>
      <c r="D12" s="18"/>
      <c r="E12" s="18"/>
      <c r="F12" s="22"/>
      <c r="U12" s="23"/>
      <c r="V12" s="7"/>
      <c r="W12" s="8"/>
      <c r="X12" s="8"/>
      <c r="Y12" s="8"/>
      <c r="Z12" s="8"/>
    </row>
    <row r="13" ht="18.75" customHeight="1">
      <c r="A13" s="24" t="s">
        <v>18</v>
      </c>
      <c r="B13" s="25"/>
      <c r="C13" s="18"/>
      <c r="D13" s="18"/>
      <c r="E13" s="18"/>
      <c r="F13" s="22"/>
      <c r="U13" s="23"/>
      <c r="V13" s="7"/>
      <c r="W13" s="8"/>
      <c r="X13" s="8"/>
      <c r="Y13" s="8"/>
      <c r="Z13" s="8"/>
    </row>
    <row r="14" ht="18.75" customHeight="1">
      <c r="A14" s="24" t="s">
        <v>19</v>
      </c>
      <c r="B14" s="29">
        <v>0.0</v>
      </c>
      <c r="C14" s="30"/>
      <c r="D14" s="30"/>
      <c r="E14" s="34" t="s">
        <v>20</v>
      </c>
      <c r="F14" s="22"/>
      <c r="U14" s="23"/>
      <c r="V14" s="7"/>
      <c r="W14" s="8"/>
      <c r="X14" s="8"/>
      <c r="Y14" s="8"/>
      <c r="Z14" s="8"/>
    </row>
    <row r="15" ht="18.75" customHeight="1">
      <c r="A15" s="24" t="s">
        <v>21</v>
      </c>
      <c r="B15" s="32"/>
      <c r="C15" s="30"/>
      <c r="D15" s="30"/>
      <c r="E15" s="35"/>
      <c r="F15" s="22"/>
      <c r="U15" s="23"/>
      <c r="V15" s="7"/>
      <c r="W15" s="8"/>
      <c r="X15" s="8"/>
      <c r="Y15" s="8"/>
      <c r="Z15" s="8"/>
    </row>
    <row r="16" ht="18.75" customHeight="1">
      <c r="A16" s="36" t="s">
        <v>22</v>
      </c>
      <c r="B16" s="37"/>
      <c r="C16" s="38"/>
      <c r="D16" s="38"/>
      <c r="E16" s="39"/>
      <c r="F16" s="40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2"/>
      <c r="V16" s="7"/>
      <c r="W16" s="8"/>
      <c r="X16" s="8"/>
      <c r="Y16" s="8"/>
      <c r="Z16" s="8"/>
    </row>
    <row r="17" ht="18.75" customHeight="1">
      <c r="A17" s="43" t="s">
        <v>23</v>
      </c>
      <c r="B17" s="2"/>
      <c r="C17" s="44"/>
      <c r="D17" s="45" t="s">
        <v>24</v>
      </c>
      <c r="E17" s="3"/>
      <c r="F17" s="45" t="s">
        <v>25</v>
      </c>
      <c r="G17" s="2"/>
      <c r="H17" s="2"/>
      <c r="I17" s="2"/>
      <c r="J17" s="2"/>
      <c r="K17" s="3"/>
      <c r="L17" s="45" t="s">
        <v>26</v>
      </c>
      <c r="M17" s="2"/>
      <c r="N17" s="2"/>
      <c r="O17" s="2"/>
      <c r="P17" s="2"/>
      <c r="Q17" s="3"/>
      <c r="R17" s="45" t="s">
        <v>27</v>
      </c>
      <c r="S17" s="2"/>
      <c r="T17" s="2"/>
      <c r="U17" s="6"/>
      <c r="V17" s="7"/>
      <c r="W17" s="8"/>
      <c r="X17" s="8"/>
      <c r="Y17" s="8"/>
      <c r="Z17" s="8"/>
    </row>
    <row r="18" ht="18.75" customHeight="1">
      <c r="A18" s="46" t="s">
        <v>28</v>
      </c>
      <c r="B18" s="18"/>
      <c r="C18" s="18"/>
      <c r="D18" s="47"/>
      <c r="E18" s="48"/>
      <c r="F18" s="47"/>
      <c r="G18" s="18"/>
      <c r="H18" s="18"/>
      <c r="I18" s="18"/>
      <c r="J18" s="18"/>
      <c r="K18" s="48"/>
      <c r="L18" s="49"/>
      <c r="M18" s="18"/>
      <c r="N18" s="18"/>
      <c r="O18" s="18"/>
      <c r="P18" s="18"/>
      <c r="Q18" s="48"/>
      <c r="R18" s="50"/>
      <c r="S18" s="20"/>
      <c r="T18" s="20"/>
      <c r="U18" s="21"/>
      <c r="V18" s="7"/>
      <c r="W18" s="8"/>
      <c r="X18" s="8"/>
      <c r="Y18" s="8"/>
      <c r="Z18" s="8"/>
    </row>
    <row r="19" ht="18.75" customHeight="1">
      <c r="A19" s="51" t="s">
        <v>29</v>
      </c>
      <c r="B19" s="30"/>
      <c r="C19" s="30"/>
      <c r="D19" s="52" t="s">
        <v>30</v>
      </c>
      <c r="E19" s="35"/>
      <c r="F19" s="53">
        <v>0.0</v>
      </c>
      <c r="G19" s="30"/>
      <c r="H19" s="30"/>
      <c r="I19" s="30"/>
      <c r="J19" s="30"/>
      <c r="K19" s="35"/>
      <c r="L19" s="54">
        <v>0.0</v>
      </c>
      <c r="M19" s="30"/>
      <c r="N19" s="30"/>
      <c r="O19" s="30"/>
      <c r="P19" s="30"/>
      <c r="Q19" s="35"/>
      <c r="R19" s="55"/>
      <c r="U19" s="23"/>
      <c r="V19" s="7"/>
      <c r="W19" s="8"/>
      <c r="X19" s="8"/>
      <c r="Y19" s="8"/>
      <c r="Z19" s="8"/>
    </row>
    <row r="20" ht="18.75" customHeight="1">
      <c r="A20" s="51" t="s">
        <v>31</v>
      </c>
      <c r="B20" s="30"/>
      <c r="C20" s="30"/>
      <c r="D20" s="52"/>
      <c r="E20" s="35"/>
      <c r="F20" s="56" t="s">
        <v>32</v>
      </c>
      <c r="G20" s="30"/>
      <c r="H20" s="30"/>
      <c r="I20" s="30"/>
      <c r="J20" s="30"/>
      <c r="K20" s="35"/>
      <c r="L20" s="57" t="s">
        <v>32</v>
      </c>
      <c r="M20" s="30"/>
      <c r="N20" s="30"/>
      <c r="O20" s="30"/>
      <c r="P20" s="30"/>
      <c r="Q20" s="35"/>
      <c r="R20" s="55"/>
      <c r="U20" s="23"/>
      <c r="V20" s="7"/>
      <c r="W20" s="8"/>
      <c r="X20" s="8"/>
      <c r="Y20" s="8"/>
      <c r="Z20" s="8"/>
    </row>
    <row r="21" ht="18.75" customHeight="1">
      <c r="A21" s="51" t="s">
        <v>33</v>
      </c>
      <c r="B21" s="30"/>
      <c r="C21" s="30"/>
      <c r="D21" s="52"/>
      <c r="E21" s="35"/>
      <c r="F21" s="52"/>
      <c r="G21" s="30"/>
      <c r="H21" s="30"/>
      <c r="I21" s="30"/>
      <c r="J21" s="30"/>
      <c r="K21" s="35"/>
      <c r="L21" s="58"/>
      <c r="M21" s="30"/>
      <c r="N21" s="30"/>
      <c r="O21" s="30"/>
      <c r="P21" s="30"/>
      <c r="Q21" s="35"/>
      <c r="R21" s="55"/>
      <c r="U21" s="23"/>
      <c r="V21" s="7"/>
      <c r="W21" s="8"/>
      <c r="X21" s="8"/>
      <c r="Y21" s="8"/>
      <c r="Z21" s="8"/>
    </row>
    <row r="22" ht="18.75" customHeight="1">
      <c r="A22" s="59" t="s">
        <v>34</v>
      </c>
      <c r="B22" s="30"/>
      <c r="C22" s="30"/>
      <c r="D22" s="52"/>
      <c r="E22" s="35"/>
      <c r="F22" s="52"/>
      <c r="G22" s="30"/>
      <c r="H22" s="30"/>
      <c r="I22" s="30"/>
      <c r="J22" s="30"/>
      <c r="K22" s="35"/>
      <c r="L22" s="58"/>
      <c r="M22" s="30"/>
      <c r="N22" s="30"/>
      <c r="O22" s="30"/>
      <c r="P22" s="30"/>
      <c r="Q22" s="35"/>
      <c r="R22" s="55"/>
      <c r="U22" s="23"/>
      <c r="V22" s="7"/>
      <c r="W22" s="8"/>
      <c r="X22" s="8"/>
      <c r="Y22" s="8"/>
      <c r="Z22" s="8"/>
    </row>
    <row r="23" ht="18.75" customHeight="1">
      <c r="A23" s="59" t="s">
        <v>35</v>
      </c>
      <c r="B23" s="30"/>
      <c r="C23" s="30"/>
      <c r="D23" s="52"/>
      <c r="E23" s="35"/>
      <c r="F23" s="52"/>
      <c r="G23" s="30"/>
      <c r="H23" s="30"/>
      <c r="I23" s="30"/>
      <c r="J23" s="30"/>
      <c r="K23" s="35"/>
      <c r="L23" s="58"/>
      <c r="M23" s="30"/>
      <c r="N23" s="30"/>
      <c r="O23" s="30"/>
      <c r="P23" s="30"/>
      <c r="Q23" s="35"/>
      <c r="R23" s="55"/>
      <c r="U23" s="23"/>
      <c r="V23" s="7"/>
      <c r="W23" s="8"/>
      <c r="X23" s="8"/>
      <c r="Y23" s="8"/>
      <c r="Z23" s="8"/>
    </row>
    <row r="24" ht="18.75" customHeight="1">
      <c r="A24" s="59" t="s">
        <v>36</v>
      </c>
      <c r="B24" s="30"/>
      <c r="C24" s="30"/>
      <c r="D24" s="52" t="s">
        <v>37</v>
      </c>
      <c r="E24" s="35"/>
      <c r="F24" s="52">
        <v>1.0</v>
      </c>
      <c r="G24" s="30"/>
      <c r="H24" s="30"/>
      <c r="I24" s="30"/>
      <c r="J24" s="30"/>
      <c r="K24" s="35"/>
      <c r="L24" s="58">
        <v>1.0</v>
      </c>
      <c r="M24" s="30"/>
      <c r="N24" s="30"/>
      <c r="O24" s="30"/>
      <c r="P24" s="30"/>
      <c r="Q24" s="35"/>
      <c r="R24" s="55"/>
      <c r="U24" s="23"/>
      <c r="V24" s="7"/>
      <c r="W24" s="8"/>
      <c r="X24" s="8"/>
      <c r="Y24" s="8"/>
      <c r="Z24" s="8"/>
    </row>
    <row r="25" ht="18.75" customHeight="1">
      <c r="A25" s="51" t="s">
        <v>38</v>
      </c>
      <c r="B25" s="30"/>
      <c r="C25" s="30"/>
      <c r="D25" s="52"/>
      <c r="E25" s="35"/>
      <c r="F25" s="52"/>
      <c r="G25" s="30"/>
      <c r="H25" s="30"/>
      <c r="I25" s="30"/>
      <c r="J25" s="30"/>
      <c r="K25" s="35"/>
      <c r="L25" s="58"/>
      <c r="M25" s="30"/>
      <c r="N25" s="30"/>
      <c r="O25" s="30"/>
      <c r="P25" s="30"/>
      <c r="Q25" s="35"/>
      <c r="R25" s="55"/>
      <c r="U25" s="23"/>
      <c r="V25" s="7"/>
      <c r="W25" s="8"/>
      <c r="X25" s="8"/>
      <c r="Y25" s="8"/>
      <c r="Z25" s="8"/>
    </row>
    <row r="26" ht="18.75" customHeight="1">
      <c r="A26" s="51" t="s">
        <v>39</v>
      </c>
      <c r="B26" s="30"/>
      <c r="C26" s="30"/>
      <c r="D26" s="52" t="s">
        <v>40</v>
      </c>
      <c r="E26" s="35"/>
      <c r="F26" s="52">
        <v>0.0</v>
      </c>
      <c r="G26" s="30"/>
      <c r="H26" s="30"/>
      <c r="I26" s="30"/>
      <c r="J26" s="30"/>
      <c r="K26" s="35"/>
      <c r="L26" s="58">
        <v>0.0</v>
      </c>
      <c r="M26" s="30"/>
      <c r="N26" s="30"/>
      <c r="O26" s="30"/>
      <c r="P26" s="30"/>
      <c r="Q26" s="35"/>
      <c r="R26" s="55"/>
      <c r="U26" s="23"/>
      <c r="V26" s="7"/>
      <c r="W26" s="8"/>
      <c r="X26" s="8"/>
      <c r="Y26" s="8"/>
      <c r="Z26" s="8"/>
    </row>
    <row r="27" ht="18.75" customHeight="1">
      <c r="A27" s="43" t="s">
        <v>41</v>
      </c>
      <c r="B27" s="2"/>
      <c r="C27" s="44"/>
      <c r="D27" s="45" t="s">
        <v>24</v>
      </c>
      <c r="E27" s="3"/>
      <c r="F27" s="45" t="str">
        <f>F17</f>
        <v>Existing</v>
      </c>
      <c r="G27" s="2"/>
      <c r="H27" s="2"/>
      <c r="I27" s="2"/>
      <c r="J27" s="2"/>
      <c r="K27" s="3"/>
      <c r="L27" s="45" t="str">
        <f>L17</f>
        <v>Motherson</v>
      </c>
      <c r="M27" s="2"/>
      <c r="N27" s="2"/>
      <c r="O27" s="2"/>
      <c r="P27" s="2"/>
      <c r="Q27" s="3"/>
      <c r="R27" s="55"/>
      <c r="U27" s="23"/>
      <c r="V27" s="7"/>
      <c r="W27" s="8"/>
      <c r="X27" s="8"/>
      <c r="Y27" s="8"/>
      <c r="Z27" s="8"/>
    </row>
    <row r="28" ht="18.75" customHeight="1">
      <c r="A28" s="46" t="s">
        <v>42</v>
      </c>
      <c r="B28" s="18"/>
      <c r="C28" s="18"/>
      <c r="D28" s="47" t="s">
        <v>43</v>
      </c>
      <c r="E28" s="48"/>
      <c r="F28" s="60">
        <v>0.0</v>
      </c>
      <c r="G28" s="18"/>
      <c r="H28" s="18"/>
      <c r="I28" s="18"/>
      <c r="J28" s="18"/>
      <c r="K28" s="48"/>
      <c r="L28" s="60">
        <v>0.0</v>
      </c>
      <c r="M28" s="18"/>
      <c r="N28" s="18"/>
      <c r="O28" s="18"/>
      <c r="P28" s="18"/>
      <c r="Q28" s="48"/>
      <c r="R28" s="55"/>
      <c r="U28" s="23"/>
      <c r="V28" s="7"/>
      <c r="W28" s="8"/>
      <c r="X28" s="8"/>
      <c r="Y28" s="8"/>
      <c r="Z28" s="8"/>
    </row>
    <row r="29" ht="18.75" customHeight="1">
      <c r="A29" s="51" t="s">
        <v>44</v>
      </c>
      <c r="B29" s="30"/>
      <c r="C29" s="30"/>
      <c r="D29" s="52" t="s">
        <v>45</v>
      </c>
      <c r="E29" s="35"/>
      <c r="F29" s="60">
        <v>0.0</v>
      </c>
      <c r="G29" s="18"/>
      <c r="H29" s="18"/>
      <c r="I29" s="18"/>
      <c r="J29" s="18"/>
      <c r="K29" s="48"/>
      <c r="L29" s="61">
        <v>0.0</v>
      </c>
      <c r="M29" s="30"/>
      <c r="N29" s="30"/>
      <c r="O29" s="30"/>
      <c r="P29" s="30"/>
      <c r="Q29" s="35"/>
      <c r="R29" s="55"/>
      <c r="U29" s="23"/>
      <c r="V29" s="7"/>
      <c r="W29" s="8"/>
      <c r="X29" s="8"/>
      <c r="Y29" s="8"/>
      <c r="Z29" s="8"/>
    </row>
    <row r="30" ht="18.75" customHeight="1">
      <c r="A30" s="51" t="s">
        <v>46</v>
      </c>
      <c r="B30" s="30"/>
      <c r="C30" s="30"/>
      <c r="D30" s="52" t="s">
        <v>47</v>
      </c>
      <c r="E30" s="35"/>
      <c r="F30" s="60">
        <v>0.0</v>
      </c>
      <c r="G30" s="18"/>
      <c r="H30" s="18"/>
      <c r="I30" s="18"/>
      <c r="J30" s="18"/>
      <c r="K30" s="48"/>
      <c r="L30" s="61">
        <v>0.0</v>
      </c>
      <c r="M30" s="30"/>
      <c r="N30" s="30"/>
      <c r="O30" s="30"/>
      <c r="P30" s="30"/>
      <c r="Q30" s="35"/>
      <c r="R30" s="55"/>
      <c r="U30" s="23"/>
      <c r="V30" s="7"/>
      <c r="W30" s="8"/>
      <c r="X30" s="8"/>
      <c r="Y30" s="8"/>
      <c r="Z30" s="8"/>
    </row>
    <row r="31" ht="18.75" customHeight="1">
      <c r="A31" s="51" t="s">
        <v>48</v>
      </c>
      <c r="B31" s="30"/>
      <c r="C31" s="30"/>
      <c r="D31" s="52" t="s">
        <v>49</v>
      </c>
      <c r="E31" s="35"/>
      <c r="F31" s="62">
        <v>0.0</v>
      </c>
      <c r="G31" s="18"/>
      <c r="H31" s="18"/>
      <c r="I31" s="18"/>
      <c r="J31" s="18"/>
      <c r="K31" s="48"/>
      <c r="L31" s="63">
        <v>0.0</v>
      </c>
      <c r="M31" s="30"/>
      <c r="N31" s="30"/>
      <c r="O31" s="30"/>
      <c r="P31" s="30"/>
      <c r="Q31" s="35"/>
      <c r="R31" s="55"/>
      <c r="U31" s="23"/>
      <c r="V31" s="7"/>
      <c r="W31" s="8"/>
      <c r="X31" s="8"/>
      <c r="Y31" s="8"/>
      <c r="Z31" s="8"/>
    </row>
    <row r="32" ht="18.75" customHeight="1">
      <c r="A32" s="51" t="s">
        <v>50</v>
      </c>
      <c r="B32" s="30"/>
      <c r="C32" s="30"/>
      <c r="D32" s="52" t="s">
        <v>30</v>
      </c>
      <c r="E32" s="35"/>
      <c r="F32" s="63">
        <v>0.0</v>
      </c>
      <c r="G32" s="30"/>
      <c r="H32" s="30"/>
      <c r="I32" s="30"/>
      <c r="J32" s="30"/>
      <c r="K32" s="35"/>
      <c r="L32" s="63">
        <v>0.0</v>
      </c>
      <c r="M32" s="30"/>
      <c r="N32" s="30"/>
      <c r="O32" s="30"/>
      <c r="P32" s="30"/>
      <c r="Q32" s="35"/>
      <c r="R32" s="55"/>
      <c r="U32" s="23"/>
      <c r="V32" s="7"/>
      <c r="W32" s="8"/>
      <c r="X32" s="8"/>
      <c r="Y32" s="8"/>
      <c r="Z32" s="8"/>
    </row>
    <row r="33" ht="18.75" customHeight="1">
      <c r="A33" s="51" t="s">
        <v>51</v>
      </c>
      <c r="B33" s="30"/>
      <c r="C33" s="30"/>
      <c r="D33" s="52" t="s">
        <v>30</v>
      </c>
      <c r="E33" s="35"/>
      <c r="F33" s="63">
        <v>0.0</v>
      </c>
      <c r="G33" s="30"/>
      <c r="H33" s="30"/>
      <c r="I33" s="30"/>
      <c r="J33" s="30"/>
      <c r="K33" s="35"/>
      <c r="L33" s="63">
        <v>0.0</v>
      </c>
      <c r="M33" s="30"/>
      <c r="N33" s="30"/>
      <c r="O33" s="30"/>
      <c r="P33" s="30"/>
      <c r="Q33" s="35"/>
      <c r="R33" s="55"/>
      <c r="U33" s="23"/>
      <c r="V33" s="7"/>
      <c r="W33" s="8"/>
      <c r="X33" s="8"/>
      <c r="Y33" s="8"/>
      <c r="Z33" s="8"/>
    </row>
    <row r="34" ht="18.75" customHeight="1">
      <c r="A34" s="51" t="s">
        <v>52</v>
      </c>
      <c r="B34" s="30"/>
      <c r="C34" s="30"/>
      <c r="D34" s="52" t="s">
        <v>37</v>
      </c>
      <c r="E34" s="35"/>
      <c r="F34" s="58">
        <v>0.0</v>
      </c>
      <c r="G34" s="30"/>
      <c r="H34" s="30"/>
      <c r="I34" s="30"/>
      <c r="J34" s="30"/>
      <c r="K34" s="35"/>
      <c r="L34" s="58">
        <v>0.0</v>
      </c>
      <c r="M34" s="30"/>
      <c r="N34" s="30"/>
      <c r="O34" s="30"/>
      <c r="P34" s="30"/>
      <c r="Q34" s="35"/>
      <c r="R34" s="55"/>
      <c r="U34" s="23"/>
      <c r="V34" s="7"/>
      <c r="W34" s="8"/>
      <c r="X34" s="8"/>
      <c r="Y34" s="8"/>
      <c r="Z34" s="8"/>
    </row>
    <row r="35" ht="18.75" customHeight="1">
      <c r="A35" s="51" t="s">
        <v>53</v>
      </c>
      <c r="B35" s="30"/>
      <c r="C35" s="30"/>
      <c r="D35" s="52" t="s">
        <v>54</v>
      </c>
      <c r="E35" s="35"/>
      <c r="F35" s="63">
        <f>IFERROR(CTER!CutLength_E/CTER!LinearFeed_E,0)*60</f>
        <v>0</v>
      </c>
      <c r="G35" s="30"/>
      <c r="H35" s="30"/>
      <c r="I35" s="30"/>
      <c r="J35" s="30"/>
      <c r="K35" s="35"/>
      <c r="L35" s="63">
        <f>IFERROR(CTER!CutLength_M/CTER!LinearFeed_M,0)*60</f>
        <v>0</v>
      </c>
      <c r="M35" s="30"/>
      <c r="N35" s="30"/>
      <c r="O35" s="30"/>
      <c r="P35" s="30"/>
      <c r="Q35" s="35"/>
      <c r="R35" s="55"/>
      <c r="U35" s="23"/>
      <c r="V35" s="7"/>
      <c r="W35" s="8"/>
      <c r="X35" s="8"/>
      <c r="Y35" s="8"/>
      <c r="Z35" s="8"/>
    </row>
    <row r="36" ht="18.75" customHeight="1">
      <c r="A36" s="51" t="s">
        <v>55</v>
      </c>
      <c r="B36" s="30"/>
      <c r="C36" s="30"/>
      <c r="D36" s="52" t="s">
        <v>54</v>
      </c>
      <c r="E36" s="35"/>
      <c r="F36" s="63">
        <f>CTER!TimePerPass_E*CTER!Passes_E</f>
        <v>0</v>
      </c>
      <c r="G36" s="30"/>
      <c r="H36" s="30"/>
      <c r="I36" s="30"/>
      <c r="J36" s="30"/>
      <c r="K36" s="35"/>
      <c r="L36" s="63">
        <f>CTER!TimePerPass_M*CTER!Passes_M</f>
        <v>0</v>
      </c>
      <c r="M36" s="30"/>
      <c r="N36" s="30"/>
      <c r="O36" s="30"/>
      <c r="P36" s="30"/>
      <c r="Q36" s="35"/>
      <c r="R36" s="55"/>
      <c r="U36" s="23"/>
      <c r="V36" s="7"/>
      <c r="W36" s="8"/>
      <c r="X36" s="8"/>
      <c r="Y36" s="8"/>
      <c r="Z36" s="8"/>
    </row>
    <row r="37" ht="18.75" customHeight="1">
      <c r="A37" s="51" t="s">
        <v>56</v>
      </c>
      <c r="B37" s="30"/>
      <c r="C37" s="30"/>
      <c r="D37" s="52"/>
      <c r="E37" s="35"/>
      <c r="F37" s="56" t="s">
        <v>14</v>
      </c>
      <c r="G37" s="30"/>
      <c r="H37" s="30"/>
      <c r="I37" s="30"/>
      <c r="J37" s="30"/>
      <c r="K37" s="35"/>
      <c r="L37" s="56" t="s">
        <v>14</v>
      </c>
      <c r="M37" s="30"/>
      <c r="N37" s="30"/>
      <c r="O37" s="30"/>
      <c r="P37" s="30"/>
      <c r="Q37" s="35"/>
      <c r="R37" s="55"/>
      <c r="U37" s="23"/>
      <c r="V37" s="7"/>
      <c r="W37" s="8"/>
      <c r="X37" s="8"/>
      <c r="Y37" s="8"/>
      <c r="Z37" s="8"/>
    </row>
    <row r="38" ht="18.75" customHeight="1">
      <c r="A38" s="51" t="s">
        <v>57</v>
      </c>
      <c r="B38" s="30"/>
      <c r="C38" s="30"/>
      <c r="D38" s="52"/>
      <c r="E38" s="35"/>
      <c r="F38" s="56" t="s">
        <v>14</v>
      </c>
      <c r="G38" s="30"/>
      <c r="H38" s="30"/>
      <c r="I38" s="30"/>
      <c r="J38" s="30"/>
      <c r="K38" s="35"/>
      <c r="L38" s="56" t="s">
        <v>14</v>
      </c>
      <c r="M38" s="30"/>
      <c r="N38" s="30"/>
      <c r="O38" s="30"/>
      <c r="P38" s="30"/>
      <c r="Q38" s="35"/>
      <c r="R38" s="55"/>
      <c r="U38" s="23"/>
      <c r="V38" s="7"/>
      <c r="W38" s="8"/>
      <c r="X38" s="8"/>
      <c r="Y38" s="8"/>
      <c r="Z38" s="8"/>
    </row>
    <row r="39" ht="18.75" customHeight="1">
      <c r="A39" s="64" t="s">
        <v>58</v>
      </c>
      <c r="B39" s="30"/>
      <c r="C39" s="65"/>
      <c r="D39" s="56" t="s">
        <v>59</v>
      </c>
      <c r="E39" s="35"/>
      <c r="F39" s="66">
        <v>0.0</v>
      </c>
      <c r="G39" s="30"/>
      <c r="H39" s="30"/>
      <c r="I39" s="30"/>
      <c r="J39" s="30"/>
      <c r="K39" s="35"/>
      <c r="L39" s="66">
        <v>0.0</v>
      </c>
      <c r="M39" s="30"/>
      <c r="N39" s="30"/>
      <c r="O39" s="30"/>
      <c r="P39" s="30"/>
      <c r="Q39" s="35"/>
      <c r="R39" s="55"/>
      <c r="U39" s="23"/>
      <c r="V39" s="7"/>
      <c r="W39" s="8"/>
      <c r="X39" s="8"/>
      <c r="Y39" s="8"/>
      <c r="Z39" s="8"/>
    </row>
    <row r="40" ht="18.75" customHeight="1">
      <c r="A40" s="51" t="s">
        <v>60</v>
      </c>
      <c r="B40" s="30"/>
      <c r="C40" s="30"/>
      <c r="D40" s="52"/>
      <c r="E40" s="35"/>
      <c r="F40" s="56" t="s">
        <v>14</v>
      </c>
      <c r="G40" s="30"/>
      <c r="H40" s="30"/>
      <c r="I40" s="30"/>
      <c r="J40" s="30"/>
      <c r="K40" s="35"/>
      <c r="L40" s="56" t="s">
        <v>14</v>
      </c>
      <c r="M40" s="30"/>
      <c r="N40" s="30"/>
      <c r="O40" s="30"/>
      <c r="P40" s="30"/>
      <c r="Q40" s="35"/>
      <c r="R40" s="55"/>
      <c r="U40" s="23"/>
      <c r="V40" s="7"/>
      <c r="W40" s="8"/>
      <c r="X40" s="8"/>
      <c r="Y40" s="8"/>
      <c r="Z40" s="8"/>
    </row>
    <row r="41" ht="25.5" customHeight="1">
      <c r="A41" s="43" t="s">
        <v>61</v>
      </c>
      <c r="B41" s="2"/>
      <c r="C41" s="44"/>
      <c r="D41" s="45" t="s">
        <v>24</v>
      </c>
      <c r="E41" s="3"/>
      <c r="F41" s="45" t="str">
        <f>F17</f>
        <v>Existing</v>
      </c>
      <c r="G41" s="2"/>
      <c r="H41" s="2"/>
      <c r="I41" s="2"/>
      <c r="J41" s="2"/>
      <c r="K41" s="3"/>
      <c r="L41" s="45" t="str">
        <f>L17</f>
        <v>Motherson</v>
      </c>
      <c r="M41" s="2"/>
      <c r="N41" s="2"/>
      <c r="O41" s="2"/>
      <c r="P41" s="2"/>
      <c r="Q41" s="3"/>
      <c r="R41" s="45" t="s">
        <v>62</v>
      </c>
      <c r="S41" s="2"/>
      <c r="T41" s="2"/>
      <c r="U41" s="6"/>
      <c r="V41" s="7"/>
      <c r="W41" s="8"/>
      <c r="X41" s="8"/>
      <c r="Y41" s="8"/>
      <c r="Z41" s="8"/>
    </row>
    <row r="42" ht="18.75" customHeight="1">
      <c r="A42" s="46" t="s">
        <v>63</v>
      </c>
      <c r="B42" s="18"/>
      <c r="C42" s="18"/>
      <c r="D42" s="47" t="str">
        <f>CTER!Currency</f>
        <v>INR</v>
      </c>
      <c r="E42" s="48"/>
      <c r="F42" s="62">
        <v>0.0</v>
      </c>
      <c r="G42" s="18"/>
      <c r="H42" s="18"/>
      <c r="I42" s="18"/>
      <c r="J42" s="18"/>
      <c r="K42" s="48"/>
      <c r="L42" s="62">
        <v>0.0</v>
      </c>
      <c r="M42" s="18"/>
      <c r="N42" s="18"/>
      <c r="O42" s="18"/>
      <c r="P42" s="18"/>
      <c r="Q42" s="48"/>
      <c r="R42" s="67"/>
      <c r="S42" s="20"/>
      <c r="T42" s="20"/>
      <c r="U42" s="21"/>
      <c r="V42" s="7"/>
      <c r="W42" s="8"/>
      <c r="X42" s="8"/>
      <c r="Y42" s="8"/>
      <c r="Z42" s="8"/>
    </row>
    <row r="43" ht="18.75" customHeight="1">
      <c r="A43" s="51" t="s">
        <v>64</v>
      </c>
      <c r="B43" s="30"/>
      <c r="C43" s="30"/>
      <c r="D43" s="52" t="s">
        <v>37</v>
      </c>
      <c r="E43" s="35"/>
      <c r="F43" s="52">
        <v>0.0</v>
      </c>
      <c r="G43" s="30"/>
      <c r="H43" s="30"/>
      <c r="I43" s="30"/>
      <c r="J43" s="30"/>
      <c r="K43" s="35"/>
      <c r="L43" s="52">
        <v>0.0</v>
      </c>
      <c r="M43" s="30"/>
      <c r="N43" s="30"/>
      <c r="O43" s="30"/>
      <c r="P43" s="30"/>
      <c r="Q43" s="35"/>
      <c r="R43" s="55"/>
      <c r="U43" s="23"/>
      <c r="V43" s="7"/>
      <c r="W43" s="8"/>
      <c r="X43" s="8"/>
      <c r="Y43" s="8"/>
      <c r="Z43" s="8"/>
    </row>
    <row r="44" ht="18.75" customHeight="1">
      <c r="A44" s="51" t="s">
        <v>65</v>
      </c>
      <c r="B44" s="30"/>
      <c r="C44" s="30"/>
      <c r="D44" s="52" t="str">
        <f>CTER!Currency</f>
        <v>INR</v>
      </c>
      <c r="E44" s="35"/>
      <c r="F44" s="63">
        <v>0.0</v>
      </c>
      <c r="G44" s="30"/>
      <c r="H44" s="30"/>
      <c r="I44" s="30"/>
      <c r="J44" s="30"/>
      <c r="K44" s="35"/>
      <c r="L44" s="63">
        <v>0.0</v>
      </c>
      <c r="M44" s="30"/>
      <c r="N44" s="30"/>
      <c r="O44" s="30"/>
      <c r="P44" s="30"/>
      <c r="Q44" s="35"/>
      <c r="R44" s="55"/>
      <c r="U44" s="23"/>
      <c r="V44" s="7"/>
      <c r="W44" s="8"/>
      <c r="X44" s="8"/>
      <c r="Y44" s="8"/>
      <c r="Z44" s="8"/>
    </row>
    <row r="45" ht="18.75" customHeight="1">
      <c r="A45" s="51" t="s">
        <v>66</v>
      </c>
      <c r="B45" s="30"/>
      <c r="C45" s="30"/>
      <c r="D45" s="52" t="str">
        <f>CTER!Currency</f>
        <v>INR</v>
      </c>
      <c r="E45" s="35"/>
      <c r="F45" s="63">
        <v>0.0</v>
      </c>
      <c r="G45" s="30"/>
      <c r="H45" s="30"/>
      <c r="I45" s="30"/>
      <c r="J45" s="30"/>
      <c r="K45" s="35"/>
      <c r="L45" s="63">
        <v>0.0</v>
      </c>
      <c r="M45" s="30"/>
      <c r="N45" s="30"/>
      <c r="O45" s="30"/>
      <c r="P45" s="30"/>
      <c r="Q45" s="35"/>
      <c r="R45" s="55"/>
      <c r="U45" s="23"/>
      <c r="V45" s="7"/>
      <c r="W45" s="8"/>
      <c r="X45" s="8"/>
      <c r="Y45" s="8"/>
      <c r="Z45" s="8"/>
    </row>
    <row r="46" ht="18.75" customHeight="1">
      <c r="A46" s="51" t="s">
        <v>67</v>
      </c>
      <c r="B46" s="30"/>
      <c r="C46" s="30"/>
      <c r="D46" s="52" t="str">
        <f>CTER!Currency</f>
        <v>INR</v>
      </c>
      <c r="E46" s="35"/>
      <c r="F46" s="68"/>
      <c r="G46" s="30"/>
      <c r="H46" s="30"/>
      <c r="I46" s="30"/>
      <c r="J46" s="30"/>
      <c r="K46" s="35"/>
      <c r="L46" s="63">
        <f>IFERROR((CTER!ToolCostPerComponent_M-CTER!ToolCostPerComponent_E)*(-1),0)</f>
        <v>0</v>
      </c>
      <c r="M46" s="30"/>
      <c r="N46" s="30"/>
      <c r="O46" s="30"/>
      <c r="P46" s="30"/>
      <c r="Q46" s="35"/>
      <c r="R46" s="55"/>
      <c r="U46" s="23"/>
      <c r="V46" s="7"/>
      <c r="W46" s="8"/>
      <c r="X46" s="8"/>
      <c r="Y46" s="8"/>
      <c r="Z46" s="8"/>
    </row>
    <row r="47" ht="18.75" customHeight="1">
      <c r="A47" s="51" t="s">
        <v>68</v>
      </c>
      <c r="B47" s="30"/>
      <c r="C47" s="30"/>
      <c r="D47" s="52" t="s">
        <v>54</v>
      </c>
      <c r="E47" s="35"/>
      <c r="F47" s="68"/>
      <c r="G47" s="30"/>
      <c r="H47" s="30"/>
      <c r="I47" s="30"/>
      <c r="J47" s="30"/>
      <c r="K47" s="35"/>
      <c r="L47" s="63">
        <f>(IFERROR(CTER!TotalCutTime_M-CTER!TotalCutTime_E,0))*(-1)</f>
        <v>0</v>
      </c>
      <c r="M47" s="30"/>
      <c r="N47" s="30"/>
      <c r="O47" s="30"/>
      <c r="P47" s="30"/>
      <c r="Q47" s="35"/>
      <c r="R47" s="55"/>
      <c r="U47" s="23"/>
      <c r="V47" s="7"/>
      <c r="W47" s="8"/>
      <c r="X47" s="8"/>
      <c r="Y47" s="8"/>
      <c r="Z47" s="8"/>
    </row>
    <row r="48" ht="18.75" customHeight="1">
      <c r="A48" s="51" t="s">
        <v>69</v>
      </c>
      <c r="B48" s="30"/>
      <c r="C48" s="30"/>
      <c r="D48" s="52" t="str">
        <f>CTER!Currency</f>
        <v>INR</v>
      </c>
      <c r="E48" s="35"/>
      <c r="F48" s="63">
        <f>IFERROR(CTER!TotalCutTime_E*CTER!HourlyRate/(60*60),0)</f>
        <v>0</v>
      </c>
      <c r="G48" s="30"/>
      <c r="H48" s="30"/>
      <c r="I48" s="30"/>
      <c r="J48" s="30"/>
      <c r="K48" s="35"/>
      <c r="L48" s="63">
        <f>IFERROR(CTER!TotalCutTime_M*CTER!HourlyRate/(60*60),0)</f>
        <v>0</v>
      </c>
      <c r="M48" s="30"/>
      <c r="N48" s="30"/>
      <c r="O48" s="30"/>
      <c r="P48" s="30"/>
      <c r="Q48" s="35"/>
      <c r="R48" s="55"/>
      <c r="U48" s="23"/>
      <c r="V48" s="7"/>
      <c r="W48" s="8"/>
      <c r="X48" s="8"/>
      <c r="Y48" s="8"/>
      <c r="Z48" s="8"/>
    </row>
    <row r="49" ht="18.75" customHeight="1">
      <c r="A49" s="51" t="s">
        <v>70</v>
      </c>
      <c r="B49" s="30"/>
      <c r="C49" s="30"/>
      <c r="D49" s="52" t="str">
        <f>CTER!Currency</f>
        <v>INR</v>
      </c>
      <c r="E49" s="35"/>
      <c r="F49" s="68"/>
      <c r="G49" s="30"/>
      <c r="H49" s="30"/>
      <c r="I49" s="30"/>
      <c r="J49" s="30"/>
      <c r="K49" s="35"/>
      <c r="L49" s="63">
        <f>(IFERROR(CTER!MachineCostPerComp_M-CTER!MachineCostPerComp_E,0))*-1</f>
        <v>0</v>
      </c>
      <c r="M49" s="30"/>
      <c r="N49" s="30"/>
      <c r="O49" s="30"/>
      <c r="P49" s="30"/>
      <c r="Q49" s="35"/>
      <c r="R49" s="55"/>
      <c r="U49" s="23"/>
      <c r="V49" s="7"/>
      <c r="W49" s="8"/>
      <c r="X49" s="8"/>
      <c r="Y49" s="8"/>
      <c r="Z49" s="8"/>
    </row>
    <row r="50" ht="18.75" customHeight="1">
      <c r="A50" s="51" t="s">
        <v>71</v>
      </c>
      <c r="B50" s="30"/>
      <c r="C50" s="30"/>
      <c r="D50" s="52" t="str">
        <f>CTER!Currency</f>
        <v>INR</v>
      </c>
      <c r="E50" s="35"/>
      <c r="F50" s="63">
        <f>IFERROR(CTER!ToolCostPerComponent_E+CTER!MachineCostPerComp_E,0)</f>
        <v>0</v>
      </c>
      <c r="G50" s="30"/>
      <c r="H50" s="30"/>
      <c r="I50" s="30"/>
      <c r="J50" s="30"/>
      <c r="K50" s="35"/>
      <c r="L50" s="63">
        <f>IFERROR(CTER!ToolCostPerComponent_M+CTER!MachineCostPerComp_M,0)</f>
        <v>0</v>
      </c>
      <c r="M50" s="30"/>
      <c r="N50" s="30"/>
      <c r="O50" s="30"/>
      <c r="P50" s="30"/>
      <c r="Q50" s="35"/>
      <c r="R50" s="55"/>
      <c r="U50" s="23"/>
      <c r="V50" s="7"/>
      <c r="W50" s="8"/>
      <c r="X50" s="8"/>
      <c r="Y50" s="8"/>
      <c r="Z50" s="8"/>
    </row>
    <row r="51" ht="18.75" customHeight="1">
      <c r="A51" s="51" t="s">
        <v>72</v>
      </c>
      <c r="B51" s="30"/>
      <c r="C51" s="30"/>
      <c r="D51" s="52" t="str">
        <f>CTER!Currency</f>
        <v>INR</v>
      </c>
      <c r="E51" s="35"/>
      <c r="F51" s="68"/>
      <c r="G51" s="30"/>
      <c r="H51" s="30"/>
      <c r="I51" s="30"/>
      <c r="J51" s="30"/>
      <c r="K51" s="35"/>
      <c r="L51" s="63">
        <f>(IFERROR(CTER!TotalCostPerComp_M-CTER!TotalCostPerComp_E,0))*-1</f>
        <v>0</v>
      </c>
      <c r="M51" s="30"/>
      <c r="N51" s="30"/>
      <c r="O51" s="30"/>
      <c r="P51" s="30"/>
      <c r="Q51" s="35"/>
      <c r="R51" s="55"/>
      <c r="U51" s="23"/>
      <c r="V51" s="7"/>
      <c r="W51" s="8"/>
      <c r="X51" s="8"/>
      <c r="Y51" s="8"/>
      <c r="Z51" s="8"/>
    </row>
    <row r="52" ht="18.75" customHeight="1">
      <c r="A52" s="51" t="s">
        <v>73</v>
      </c>
      <c r="B52" s="30"/>
      <c r="C52" s="30"/>
      <c r="D52" s="52" t="str">
        <f>CTER!Currency</f>
        <v>INR</v>
      </c>
      <c r="E52" s="35"/>
      <c r="F52" s="68"/>
      <c r="G52" s="30"/>
      <c r="H52" s="30"/>
      <c r="I52" s="30"/>
      <c r="J52" s="30"/>
      <c r="K52" s="35"/>
      <c r="L52" s="63">
        <f>ROUND(IFERROR(CTER!TotalCostSaving_M*CTER!ProductionPerMonth*12,0),2)</f>
        <v>0</v>
      </c>
      <c r="M52" s="30"/>
      <c r="N52" s="30"/>
      <c r="O52" s="30"/>
      <c r="P52" s="30"/>
      <c r="Q52" s="35"/>
      <c r="R52" s="55"/>
      <c r="U52" s="23"/>
      <c r="V52" s="7"/>
      <c r="W52" s="8"/>
      <c r="X52" s="8"/>
      <c r="Y52" s="8"/>
      <c r="Z52" s="8"/>
    </row>
    <row r="53" ht="18.75" customHeight="1">
      <c r="A53" s="51" t="s">
        <v>74</v>
      </c>
      <c r="B53" s="30"/>
      <c r="C53" s="30"/>
      <c r="D53" s="52" t="s">
        <v>75</v>
      </c>
      <c r="E53" s="35"/>
      <c r="F53" s="68"/>
      <c r="G53" s="30"/>
      <c r="H53" s="30"/>
      <c r="I53" s="30"/>
      <c r="J53" s="30"/>
      <c r="K53" s="35"/>
      <c r="L53" s="63">
        <f>(IFERROR((CTER!TotalCutTime_M-CTER!TotalCutTime_E)*CTER!ProductionPerMonth*12/(60*60),0))*-1</f>
        <v>0</v>
      </c>
      <c r="M53" s="30"/>
      <c r="N53" s="30"/>
      <c r="O53" s="30"/>
      <c r="P53" s="30"/>
      <c r="Q53" s="35"/>
      <c r="R53" s="55"/>
      <c r="U53" s="23"/>
      <c r="V53" s="7"/>
      <c r="W53" s="8"/>
      <c r="X53" s="8"/>
      <c r="Y53" s="8"/>
      <c r="Z53" s="8"/>
    </row>
    <row r="54" ht="18.75" customHeight="1">
      <c r="A54" s="51" t="s">
        <v>76</v>
      </c>
      <c r="B54" s="30"/>
      <c r="C54" s="30"/>
      <c r="D54" s="52" t="s">
        <v>77</v>
      </c>
      <c r="E54" s="35"/>
      <c r="F54" s="68"/>
      <c r="G54" s="30"/>
      <c r="H54" s="30"/>
      <c r="I54" s="30"/>
      <c r="J54" s="30"/>
      <c r="K54" s="35"/>
      <c r="L54" s="69">
        <f>ROUND(IFERROR((CTER!TotalCutTime_M-CTER!TotalCutTime_E)/CTER!TotalCutTime_E,0)*(-1),2)</f>
        <v>0</v>
      </c>
      <c r="M54" s="30"/>
      <c r="N54" s="30"/>
      <c r="O54" s="30"/>
      <c r="P54" s="30"/>
      <c r="Q54" s="35"/>
      <c r="R54" s="70"/>
      <c r="S54" s="18"/>
      <c r="T54" s="18"/>
      <c r="U54" s="71"/>
      <c r="V54" s="7"/>
      <c r="W54" s="8"/>
      <c r="X54" s="8"/>
      <c r="Y54" s="8"/>
      <c r="Z54" s="8"/>
    </row>
    <row r="55" ht="18.75" customHeight="1">
      <c r="A55" s="72" t="s">
        <v>78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73" t="s">
        <v>79</v>
      </c>
      <c r="S55" s="38"/>
      <c r="T55" s="38"/>
      <c r="U55" s="74"/>
      <c r="V55" s="7"/>
      <c r="W55" s="8"/>
      <c r="X55" s="8"/>
      <c r="Y55" s="8"/>
      <c r="Z55" s="8"/>
    </row>
    <row r="56" ht="18.75" customHeight="1">
      <c r="A56" s="22"/>
      <c r="U56" s="23"/>
      <c r="V56" s="7"/>
      <c r="W56" s="8"/>
      <c r="X56" s="8"/>
      <c r="Y56" s="8"/>
      <c r="Z56" s="8"/>
    </row>
    <row r="57" ht="18.75" customHeight="1">
      <c r="A57" s="22"/>
      <c r="U57" s="23"/>
      <c r="V57" s="7"/>
      <c r="W57" s="8"/>
      <c r="X57" s="8"/>
      <c r="Y57" s="8"/>
      <c r="Z57" s="8"/>
    </row>
    <row r="58" ht="18.75" customHeight="1">
      <c r="A58" s="22"/>
      <c r="R58" s="75" t="s">
        <v>80</v>
      </c>
      <c r="U58" s="23"/>
      <c r="V58" s="7"/>
      <c r="W58" s="8"/>
      <c r="X58" s="8"/>
      <c r="Y58" s="8"/>
      <c r="Z58" s="8"/>
    </row>
    <row r="59" ht="18.75" customHeight="1">
      <c r="A59" s="22"/>
      <c r="U59" s="23"/>
      <c r="V59" s="7"/>
      <c r="W59" s="8"/>
      <c r="X59" s="8"/>
      <c r="Y59" s="8"/>
      <c r="Z59" s="8"/>
    </row>
    <row r="60" ht="18.75" customHeight="1">
      <c r="A60" s="40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2"/>
      <c r="V60" s="7"/>
      <c r="W60" s="8"/>
      <c r="X60" s="8"/>
      <c r="Y60" s="8"/>
      <c r="Z60" s="8"/>
    </row>
    <row r="61" ht="6.0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5"/>
      <c r="S61" s="75"/>
      <c r="T61" s="75"/>
      <c r="U61" s="75"/>
      <c r="V61" s="7"/>
      <c r="W61" s="8"/>
      <c r="X61" s="8"/>
      <c r="Y61" s="8"/>
      <c r="Z61" s="8"/>
    </row>
    <row r="62" ht="6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7"/>
      <c r="W62" s="8"/>
      <c r="X62" s="8"/>
      <c r="Y62" s="8"/>
      <c r="Z62" s="8"/>
    </row>
    <row r="63" ht="12.75" customHeight="1">
      <c r="A63" s="77" t="s">
        <v>81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78"/>
      <c r="S63" s="20"/>
      <c r="T63" s="20"/>
      <c r="U63" s="21"/>
      <c r="V63" s="7"/>
      <c r="W63" s="8"/>
      <c r="X63" s="8"/>
      <c r="Y63" s="8"/>
      <c r="Z63" s="8"/>
    </row>
    <row r="64" ht="12.75" customHeight="1">
      <c r="A64" s="22"/>
      <c r="U64" s="23"/>
      <c r="V64" s="7"/>
      <c r="W64" s="8"/>
      <c r="X64" s="8"/>
      <c r="Y64" s="8"/>
      <c r="Z64" s="8"/>
    </row>
    <row r="65" ht="12.75" customHeight="1">
      <c r="A65" s="22"/>
      <c r="U65" s="23"/>
      <c r="V65" s="7"/>
      <c r="W65" s="8"/>
      <c r="X65" s="8"/>
      <c r="Y65" s="8"/>
      <c r="Z65" s="8"/>
    </row>
    <row r="66" ht="13.5" customHeight="1">
      <c r="A66" s="40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2"/>
      <c r="V66" s="7"/>
      <c r="W66" s="8"/>
      <c r="X66" s="8"/>
      <c r="Y66" s="8"/>
      <c r="Z66" s="8"/>
    </row>
    <row r="67" ht="12.75" customHeight="1">
      <c r="A67" s="79"/>
      <c r="U67" s="23"/>
      <c r="V67" s="7"/>
      <c r="W67" s="8"/>
      <c r="X67" s="8"/>
      <c r="Y67" s="8"/>
      <c r="Z67" s="8"/>
    </row>
    <row r="68" ht="12.75" customHeight="1">
      <c r="A68" s="22"/>
      <c r="U68" s="23"/>
      <c r="V68" s="7"/>
      <c r="W68" s="8"/>
      <c r="X68" s="8"/>
      <c r="Y68" s="8"/>
      <c r="Z68" s="8"/>
    </row>
    <row r="69" ht="12.75" customHeight="1">
      <c r="A69" s="22"/>
      <c r="U69" s="23"/>
      <c r="V69" s="7"/>
      <c r="W69" s="8"/>
      <c r="X69" s="8"/>
      <c r="Y69" s="8"/>
      <c r="Z69" s="8"/>
    </row>
    <row r="70" ht="12.75" customHeight="1">
      <c r="A70" s="22"/>
      <c r="U70" s="23"/>
      <c r="V70" s="7"/>
      <c r="W70" s="8"/>
      <c r="X70" s="8"/>
      <c r="Y70" s="8"/>
      <c r="Z70" s="8"/>
    </row>
    <row r="71" ht="12.75" customHeight="1">
      <c r="A71" s="22"/>
      <c r="U71" s="23"/>
      <c r="V71" s="7"/>
      <c r="W71" s="8"/>
      <c r="X71" s="8"/>
      <c r="Y71" s="8"/>
      <c r="Z71" s="8"/>
    </row>
    <row r="72" ht="12.75" customHeight="1">
      <c r="A72" s="22"/>
      <c r="U72" s="23"/>
      <c r="V72" s="7"/>
      <c r="W72" s="8"/>
      <c r="X72" s="8"/>
      <c r="Y72" s="8"/>
      <c r="Z72" s="8"/>
    </row>
    <row r="73" ht="12.75" customHeight="1">
      <c r="A73" s="22"/>
      <c r="U73" s="23"/>
      <c r="V73" s="7"/>
      <c r="W73" s="8"/>
      <c r="X73" s="8"/>
      <c r="Y73" s="8"/>
      <c r="Z73" s="8"/>
    </row>
    <row r="74" ht="12.75" customHeight="1">
      <c r="A74" s="22"/>
      <c r="U74" s="23"/>
      <c r="V74" s="7"/>
      <c r="W74" s="8"/>
      <c r="X74" s="8"/>
      <c r="Y74" s="8"/>
      <c r="Z74" s="8"/>
    </row>
    <row r="75" ht="12.75" customHeight="1">
      <c r="A75" s="22"/>
      <c r="U75" s="23"/>
      <c r="V75" s="7"/>
      <c r="W75" s="8"/>
      <c r="X75" s="8"/>
      <c r="Y75" s="8"/>
      <c r="Z75" s="8"/>
    </row>
    <row r="76" ht="12.75" customHeight="1">
      <c r="A76" s="22"/>
      <c r="U76" s="23"/>
      <c r="V76" s="7"/>
      <c r="W76" s="8"/>
      <c r="X76" s="8"/>
      <c r="Y76" s="8"/>
      <c r="Z76" s="8"/>
    </row>
    <row r="77" ht="12.75" customHeight="1">
      <c r="A77" s="22"/>
      <c r="U77" s="23"/>
      <c r="V77" s="7"/>
      <c r="W77" s="8"/>
      <c r="X77" s="8"/>
      <c r="Y77" s="8"/>
      <c r="Z77" s="8"/>
    </row>
    <row r="78" ht="12.75" customHeight="1">
      <c r="A78" s="22"/>
      <c r="U78" s="23"/>
      <c r="V78" s="7"/>
      <c r="W78" s="8"/>
      <c r="X78" s="8"/>
      <c r="Y78" s="8"/>
      <c r="Z78" s="8"/>
    </row>
    <row r="79" ht="12.75" customHeight="1">
      <c r="A79" s="22"/>
      <c r="U79" s="23"/>
      <c r="V79" s="7"/>
      <c r="W79" s="8"/>
      <c r="X79" s="8"/>
      <c r="Y79" s="8"/>
      <c r="Z79" s="8"/>
    </row>
    <row r="80" ht="12.75" customHeight="1">
      <c r="A80" s="22"/>
      <c r="U80" s="23"/>
      <c r="V80" s="7"/>
      <c r="W80" s="8"/>
      <c r="X80" s="8"/>
      <c r="Y80" s="8"/>
      <c r="Z80" s="8"/>
    </row>
    <row r="81" ht="12.75" customHeight="1">
      <c r="A81" s="22"/>
      <c r="U81" s="23"/>
      <c r="V81" s="7"/>
      <c r="W81" s="8"/>
      <c r="X81" s="8"/>
      <c r="Y81" s="8"/>
      <c r="Z81" s="8"/>
    </row>
    <row r="82" ht="12.75" customHeight="1">
      <c r="A82" s="22"/>
      <c r="U82" s="23"/>
      <c r="V82" s="7"/>
      <c r="W82" s="8"/>
      <c r="X82" s="8"/>
      <c r="Y82" s="8"/>
      <c r="Z82" s="8"/>
    </row>
    <row r="83" ht="12.75" customHeight="1">
      <c r="A83" s="22"/>
      <c r="U83" s="23"/>
      <c r="V83" s="7"/>
      <c r="W83" s="8"/>
      <c r="X83" s="8"/>
      <c r="Y83" s="8"/>
      <c r="Z83" s="8"/>
    </row>
    <row r="84" ht="12.75" customHeight="1">
      <c r="A84" s="22"/>
      <c r="U84" s="23"/>
      <c r="V84" s="7"/>
      <c r="W84" s="8"/>
      <c r="X84" s="8"/>
      <c r="Y84" s="8"/>
      <c r="Z84" s="8"/>
    </row>
    <row r="85" ht="12.75" customHeight="1">
      <c r="A85" s="22"/>
      <c r="U85" s="23"/>
      <c r="V85" s="7"/>
      <c r="W85" s="8"/>
      <c r="X85" s="8"/>
      <c r="Y85" s="8"/>
      <c r="Z85" s="8"/>
    </row>
    <row r="86" ht="12.75" customHeight="1">
      <c r="A86" s="22"/>
      <c r="U86" s="23"/>
      <c r="V86" s="7"/>
      <c r="W86" s="8"/>
      <c r="X86" s="8"/>
      <c r="Y86" s="8"/>
      <c r="Z86" s="8"/>
    </row>
    <row r="87" ht="12.75" customHeight="1">
      <c r="A87" s="22"/>
      <c r="U87" s="23"/>
      <c r="V87" s="7"/>
      <c r="W87" s="8"/>
      <c r="X87" s="8"/>
      <c r="Y87" s="8"/>
      <c r="Z87" s="8"/>
    </row>
    <row r="88" ht="12.75" customHeight="1">
      <c r="A88" s="22"/>
      <c r="U88" s="23"/>
      <c r="V88" s="7"/>
      <c r="W88" s="8"/>
      <c r="X88" s="8"/>
      <c r="Y88" s="8"/>
      <c r="Z88" s="8"/>
    </row>
    <row r="89" ht="12.75" customHeight="1">
      <c r="A89" s="22"/>
      <c r="U89" s="23"/>
      <c r="V89" s="7"/>
      <c r="W89" s="8"/>
      <c r="X89" s="8"/>
      <c r="Y89" s="8"/>
      <c r="Z89" s="8"/>
    </row>
    <row r="90" ht="12.75" customHeight="1">
      <c r="A90" s="40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2"/>
      <c r="V90" s="7"/>
      <c r="W90" s="8"/>
      <c r="X90" s="8"/>
      <c r="Y90" s="8"/>
      <c r="Z90" s="8"/>
    </row>
    <row r="91" ht="12.75" customHeight="1">
      <c r="A91" s="8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7"/>
      <c r="W91" s="8"/>
      <c r="X91" s="8"/>
      <c r="Y91" s="8"/>
      <c r="Z91" s="8"/>
    </row>
    <row r="92" ht="12.75" customHeight="1">
      <c r="A92" s="77" t="s">
        <v>82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1"/>
      <c r="V92" s="7"/>
      <c r="W92" s="8"/>
      <c r="X92" s="8"/>
      <c r="Y92" s="8"/>
      <c r="Z92" s="8"/>
    </row>
    <row r="93" ht="12.75" customHeight="1">
      <c r="A93" s="22"/>
      <c r="U93" s="23"/>
      <c r="V93" s="7"/>
      <c r="W93" s="8"/>
      <c r="X93" s="8"/>
      <c r="Y93" s="8"/>
      <c r="Z93" s="8"/>
    </row>
    <row r="94" ht="12.75" customHeight="1">
      <c r="A94" s="40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2"/>
      <c r="V94" s="7"/>
      <c r="W94" s="8"/>
      <c r="X94" s="8"/>
      <c r="Y94" s="8"/>
      <c r="Z94" s="8"/>
    </row>
    <row r="95" ht="12.75" customHeight="1">
      <c r="A95" s="79"/>
      <c r="U95" s="23"/>
      <c r="V95" s="7"/>
      <c r="W95" s="8"/>
      <c r="X95" s="8"/>
      <c r="Y95" s="8"/>
      <c r="Z95" s="8"/>
    </row>
    <row r="96" ht="12.75" customHeight="1">
      <c r="A96" s="22"/>
      <c r="U96" s="23"/>
      <c r="V96" s="7"/>
      <c r="W96" s="8"/>
      <c r="X96" s="8"/>
      <c r="Y96" s="8"/>
      <c r="Z96" s="8"/>
    </row>
    <row r="97" ht="12.75" customHeight="1">
      <c r="A97" s="22"/>
      <c r="U97" s="23"/>
      <c r="V97" s="7"/>
      <c r="W97" s="8"/>
      <c r="X97" s="8"/>
      <c r="Y97" s="8"/>
      <c r="Z97" s="8"/>
    </row>
    <row r="98" ht="12.75" customHeight="1">
      <c r="A98" s="22"/>
      <c r="U98" s="23"/>
      <c r="V98" s="7"/>
      <c r="W98" s="8"/>
      <c r="X98" s="8"/>
      <c r="Y98" s="8"/>
      <c r="Z98" s="8"/>
    </row>
    <row r="99" ht="12.75" customHeight="1">
      <c r="A99" s="22"/>
      <c r="U99" s="23"/>
      <c r="V99" s="7"/>
      <c r="W99" s="8"/>
      <c r="X99" s="8"/>
      <c r="Y99" s="8"/>
      <c r="Z99" s="8"/>
    </row>
    <row r="100" ht="12.75" customHeight="1">
      <c r="A100" s="22"/>
      <c r="U100" s="23"/>
      <c r="V100" s="7"/>
      <c r="W100" s="8"/>
      <c r="X100" s="8"/>
      <c r="Y100" s="8"/>
      <c r="Z100" s="8"/>
    </row>
    <row r="101" ht="12.75" customHeight="1">
      <c r="A101" s="22"/>
      <c r="U101" s="23"/>
      <c r="V101" s="7"/>
      <c r="W101" s="8"/>
      <c r="X101" s="8"/>
      <c r="Y101" s="8"/>
      <c r="Z101" s="8"/>
    </row>
    <row r="102" ht="12.75" customHeight="1">
      <c r="A102" s="22"/>
      <c r="U102" s="23"/>
      <c r="V102" s="7"/>
      <c r="W102" s="8"/>
      <c r="X102" s="8"/>
      <c r="Y102" s="8"/>
      <c r="Z102" s="8"/>
    </row>
    <row r="103" ht="12.75" customHeight="1">
      <c r="A103" s="22"/>
      <c r="U103" s="23"/>
      <c r="V103" s="7"/>
      <c r="W103" s="8"/>
      <c r="X103" s="8"/>
      <c r="Y103" s="8"/>
      <c r="Z103" s="8"/>
    </row>
    <row r="104" ht="12.75" customHeight="1">
      <c r="A104" s="22"/>
      <c r="U104" s="23"/>
      <c r="V104" s="7"/>
      <c r="W104" s="8"/>
      <c r="X104" s="8"/>
      <c r="Y104" s="8"/>
      <c r="Z104" s="8"/>
    </row>
    <row r="105" ht="12.75" customHeight="1">
      <c r="A105" s="22"/>
      <c r="U105" s="23"/>
      <c r="V105" s="7"/>
      <c r="W105" s="8"/>
      <c r="X105" s="8"/>
      <c r="Y105" s="8"/>
      <c r="Z105" s="8"/>
    </row>
    <row r="106" ht="12.75" customHeight="1">
      <c r="A106" s="22"/>
      <c r="U106" s="23"/>
      <c r="V106" s="7"/>
      <c r="W106" s="8"/>
      <c r="X106" s="8"/>
      <c r="Y106" s="8"/>
      <c r="Z106" s="8"/>
    </row>
    <row r="107" ht="12.75" customHeight="1">
      <c r="A107" s="22"/>
      <c r="U107" s="23"/>
      <c r="V107" s="7"/>
      <c r="W107" s="8"/>
      <c r="X107" s="8"/>
      <c r="Y107" s="8"/>
      <c r="Z107" s="8"/>
    </row>
    <row r="108" ht="12.75" customHeight="1">
      <c r="A108" s="22"/>
      <c r="U108" s="23"/>
      <c r="V108" s="7"/>
      <c r="W108" s="8"/>
      <c r="X108" s="8"/>
      <c r="Y108" s="8"/>
      <c r="Z108" s="8"/>
    </row>
    <row r="109" ht="12.75" customHeight="1">
      <c r="A109" s="22"/>
      <c r="U109" s="23"/>
      <c r="V109" s="7"/>
      <c r="W109" s="8"/>
      <c r="X109" s="8"/>
      <c r="Y109" s="8"/>
      <c r="Z109" s="8"/>
    </row>
    <row r="110" ht="12.75" customHeight="1">
      <c r="A110" s="22"/>
      <c r="U110" s="23"/>
      <c r="V110" s="7"/>
      <c r="W110" s="8"/>
      <c r="X110" s="8"/>
      <c r="Y110" s="8"/>
      <c r="Z110" s="8"/>
    </row>
    <row r="111" ht="12.75" customHeight="1">
      <c r="A111" s="22"/>
      <c r="U111" s="23"/>
      <c r="V111" s="7"/>
      <c r="W111" s="8"/>
      <c r="X111" s="8"/>
      <c r="Y111" s="8"/>
      <c r="Z111" s="8"/>
    </row>
    <row r="112" ht="12.75" customHeight="1">
      <c r="A112" s="22"/>
      <c r="U112" s="23"/>
      <c r="V112" s="7"/>
      <c r="W112" s="8"/>
      <c r="X112" s="8"/>
      <c r="Y112" s="8"/>
      <c r="Z112" s="8"/>
    </row>
    <row r="113" ht="12.75" customHeight="1">
      <c r="A113" s="22"/>
      <c r="U113" s="23"/>
      <c r="V113" s="7"/>
      <c r="W113" s="8"/>
      <c r="X113" s="8"/>
      <c r="Y113" s="8"/>
      <c r="Z113" s="8"/>
    </row>
    <row r="114" ht="12.75" customHeight="1">
      <c r="A114" s="22"/>
      <c r="U114" s="23"/>
      <c r="V114" s="7"/>
      <c r="W114" s="8"/>
      <c r="X114" s="8"/>
      <c r="Y114" s="8"/>
      <c r="Z114" s="8"/>
    </row>
    <row r="115" ht="12.75" customHeight="1">
      <c r="A115" s="22"/>
      <c r="U115" s="23"/>
      <c r="V115" s="7"/>
      <c r="W115" s="8"/>
      <c r="X115" s="8"/>
      <c r="Y115" s="8"/>
      <c r="Z115" s="8"/>
    </row>
    <row r="116" ht="12.75" customHeight="1">
      <c r="A116" s="22"/>
      <c r="U116" s="23"/>
      <c r="V116" s="7"/>
      <c r="W116" s="8"/>
      <c r="X116" s="8"/>
      <c r="Y116" s="8"/>
      <c r="Z116" s="8"/>
    </row>
    <row r="117" ht="12.75" customHeight="1">
      <c r="A117" s="22"/>
      <c r="U117" s="23"/>
      <c r="V117" s="7"/>
      <c r="W117" s="8"/>
      <c r="X117" s="8"/>
      <c r="Y117" s="8"/>
      <c r="Z117" s="8"/>
    </row>
    <row r="118" ht="12.75" customHeight="1">
      <c r="A118" s="40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2"/>
      <c r="V118" s="7"/>
      <c r="W118" s="8"/>
      <c r="X118" s="8"/>
      <c r="Y118" s="8"/>
      <c r="Z118" s="8"/>
    </row>
    <row r="119" ht="12.75" customHeight="1">
      <c r="A119" s="81"/>
      <c r="B119" s="81"/>
      <c r="C119" s="81"/>
      <c r="D119" s="82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1"/>
      <c r="S119" s="8"/>
      <c r="T119" s="8"/>
      <c r="U119" s="8"/>
      <c r="V119" s="7"/>
      <c r="W119" s="8"/>
      <c r="X119" s="8"/>
      <c r="Y119" s="8"/>
      <c r="Z119" s="8"/>
    </row>
    <row r="120" ht="12.75" hidden="1" customHeight="1">
      <c r="A120" s="81"/>
      <c r="B120" s="81"/>
      <c r="C120" s="81"/>
      <c r="D120" s="82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1"/>
      <c r="S120" s="8"/>
      <c r="T120" s="8"/>
      <c r="U120" s="8"/>
      <c r="V120" s="7"/>
      <c r="W120" s="8"/>
      <c r="X120" s="8"/>
      <c r="Y120" s="8"/>
      <c r="Z120" s="8"/>
    </row>
    <row r="121" ht="12.75" hidden="1" customHeight="1">
      <c r="A121" s="81"/>
      <c r="B121" s="81"/>
      <c r="C121" s="81"/>
      <c r="D121" s="82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1"/>
      <c r="S121" s="8"/>
      <c r="T121" s="8"/>
      <c r="U121" s="8"/>
      <c r="V121" s="7"/>
      <c r="W121" s="8"/>
      <c r="X121" s="8"/>
      <c r="Y121" s="8"/>
      <c r="Z121" s="8"/>
    </row>
    <row r="122" ht="12.75" hidden="1" customHeight="1">
      <c r="A122" s="81"/>
      <c r="B122" s="81"/>
      <c r="C122" s="81"/>
      <c r="D122" s="82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1"/>
      <c r="S122" s="8"/>
      <c r="T122" s="8"/>
      <c r="U122" s="8"/>
      <c r="V122" s="7"/>
      <c r="W122" s="8"/>
      <c r="X122" s="8"/>
      <c r="Y122" s="8"/>
      <c r="Z122" s="8"/>
    </row>
    <row r="123" ht="12.75" hidden="1" customHeight="1">
      <c r="A123" s="81"/>
      <c r="B123" s="81"/>
      <c r="C123" s="81"/>
      <c r="D123" s="82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1"/>
      <c r="S123" s="8"/>
      <c r="T123" s="8"/>
      <c r="U123" s="8"/>
      <c r="V123" s="7"/>
      <c r="W123" s="8"/>
      <c r="X123" s="8"/>
      <c r="Y123" s="8"/>
      <c r="Z123" s="8"/>
    </row>
    <row r="124" ht="12.75" hidden="1" customHeight="1">
      <c r="A124" s="81"/>
      <c r="B124" s="81"/>
      <c r="C124" s="81"/>
      <c r="D124" s="82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1"/>
      <c r="S124" s="8"/>
      <c r="T124" s="8"/>
      <c r="U124" s="8"/>
      <c r="V124" s="7"/>
      <c r="W124" s="8"/>
      <c r="X124" s="8"/>
      <c r="Y124" s="8"/>
      <c r="Z124" s="8"/>
    </row>
    <row r="125" ht="12.75" hidden="1" customHeight="1">
      <c r="A125" s="81"/>
      <c r="B125" s="81"/>
      <c r="C125" s="81"/>
      <c r="D125" s="82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1"/>
      <c r="S125" s="8"/>
      <c r="T125" s="8"/>
      <c r="U125" s="8"/>
      <c r="V125" s="7"/>
      <c r="W125" s="8"/>
      <c r="X125" s="8"/>
      <c r="Y125" s="8"/>
      <c r="Z125" s="8"/>
    </row>
    <row r="126" ht="12.75" hidden="1" customHeight="1">
      <c r="A126" s="81"/>
      <c r="B126" s="81"/>
      <c r="C126" s="81"/>
      <c r="D126" s="82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1"/>
      <c r="S126" s="8"/>
      <c r="T126" s="8"/>
      <c r="U126" s="8"/>
      <c r="V126" s="8"/>
      <c r="W126" s="8"/>
      <c r="X126" s="8"/>
      <c r="Y126" s="8"/>
      <c r="Z126" s="8"/>
    </row>
    <row r="127" ht="12.75" hidden="1" customHeight="1">
      <c r="A127" s="81"/>
      <c r="B127" s="81"/>
      <c r="C127" s="81"/>
      <c r="D127" s="82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1"/>
      <c r="S127" s="8"/>
      <c r="T127" s="8"/>
      <c r="U127" s="8"/>
      <c r="V127" s="8"/>
      <c r="W127" s="8"/>
      <c r="X127" s="8"/>
      <c r="Y127" s="8"/>
      <c r="Z127" s="8"/>
    </row>
    <row r="128" ht="12.75" hidden="1" customHeight="1">
      <c r="A128" s="81"/>
      <c r="B128" s="81"/>
      <c r="C128" s="81"/>
      <c r="D128" s="82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1"/>
      <c r="S128" s="8"/>
      <c r="T128" s="8"/>
      <c r="U128" s="8"/>
      <c r="V128" s="8"/>
      <c r="W128" s="8"/>
      <c r="X128" s="8"/>
      <c r="Y128" s="8"/>
      <c r="Z128" s="8"/>
    </row>
    <row r="129" ht="12.75" hidden="1" customHeight="1">
      <c r="A129" s="81"/>
      <c r="B129" s="81"/>
      <c r="C129" s="81"/>
      <c r="D129" s="82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1"/>
      <c r="S129" s="8"/>
      <c r="T129" s="8"/>
      <c r="U129" s="8"/>
      <c r="V129" s="8"/>
      <c r="W129" s="8"/>
      <c r="X129" s="8"/>
      <c r="Y129" s="8"/>
      <c r="Z129" s="8"/>
    </row>
    <row r="130" ht="12.75" hidden="1" customHeight="1">
      <c r="A130" s="81"/>
      <c r="B130" s="81"/>
      <c r="C130" s="81"/>
      <c r="D130" s="82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1"/>
      <c r="S130" s="8"/>
      <c r="T130" s="8"/>
      <c r="U130" s="8"/>
      <c r="V130" s="8"/>
      <c r="W130" s="8"/>
      <c r="X130" s="8"/>
      <c r="Y130" s="8"/>
      <c r="Z130" s="8"/>
    </row>
    <row r="131" ht="12.75" hidden="1" customHeight="1">
      <c r="A131" s="81"/>
      <c r="B131" s="81"/>
      <c r="C131" s="81"/>
      <c r="D131" s="82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1"/>
      <c r="S131" s="8"/>
      <c r="T131" s="8"/>
      <c r="U131" s="8"/>
      <c r="V131" s="8"/>
      <c r="W131" s="8"/>
      <c r="X131" s="8"/>
      <c r="Y131" s="8"/>
      <c r="Z131" s="8"/>
    </row>
    <row r="132" ht="12.75" hidden="1" customHeight="1">
      <c r="A132" s="81"/>
      <c r="B132" s="81"/>
      <c r="C132" s="81"/>
      <c r="D132" s="82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1"/>
      <c r="S132" s="8"/>
      <c r="T132" s="8"/>
      <c r="U132" s="8"/>
      <c r="V132" s="8"/>
      <c r="W132" s="8"/>
      <c r="X132" s="8"/>
      <c r="Y132" s="8"/>
      <c r="Z132" s="8"/>
    </row>
    <row r="133" ht="12.75" hidden="1" customHeight="1">
      <c r="A133" s="81"/>
      <c r="B133" s="81"/>
      <c r="C133" s="81"/>
      <c r="D133" s="82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1"/>
      <c r="S133" s="8"/>
      <c r="T133" s="8"/>
      <c r="U133" s="8"/>
      <c r="V133" s="8"/>
      <c r="W133" s="8"/>
      <c r="X133" s="8"/>
      <c r="Y133" s="8"/>
      <c r="Z133" s="8"/>
    </row>
    <row r="134" ht="12.75" hidden="1" customHeight="1">
      <c r="A134" s="81"/>
      <c r="B134" s="81"/>
      <c r="C134" s="81"/>
      <c r="D134" s="82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1"/>
      <c r="S134" s="8"/>
      <c r="T134" s="8"/>
      <c r="U134" s="8"/>
      <c r="V134" s="8"/>
      <c r="W134" s="8"/>
      <c r="X134" s="8"/>
      <c r="Y134" s="8"/>
      <c r="Z134" s="8"/>
    </row>
    <row r="135" ht="12.75" hidden="1" customHeight="1">
      <c r="A135" s="81"/>
      <c r="B135" s="81"/>
      <c r="C135" s="81"/>
      <c r="D135" s="82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1"/>
      <c r="S135" s="8"/>
      <c r="T135" s="8"/>
      <c r="U135" s="8"/>
      <c r="V135" s="8"/>
      <c r="W135" s="8"/>
      <c r="X135" s="8"/>
      <c r="Y135" s="8"/>
      <c r="Z135" s="8"/>
    </row>
    <row r="136" ht="12.75" hidden="1" customHeight="1">
      <c r="A136" s="81"/>
      <c r="B136" s="81"/>
      <c r="C136" s="81"/>
      <c r="D136" s="82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1"/>
      <c r="S136" s="8"/>
      <c r="T136" s="8"/>
      <c r="U136" s="8"/>
      <c r="V136" s="8"/>
      <c r="W136" s="8"/>
      <c r="X136" s="8"/>
      <c r="Y136" s="8"/>
      <c r="Z136" s="8"/>
    </row>
    <row r="137" ht="12.75" hidden="1" customHeight="1">
      <c r="A137" s="81"/>
      <c r="B137" s="81"/>
      <c r="C137" s="81"/>
      <c r="D137" s="82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1"/>
      <c r="S137" s="8"/>
      <c r="T137" s="8"/>
      <c r="U137" s="8"/>
      <c r="V137" s="8"/>
      <c r="W137" s="8"/>
      <c r="X137" s="8"/>
      <c r="Y137" s="8"/>
      <c r="Z137" s="8"/>
    </row>
    <row r="138" ht="12.75" hidden="1" customHeight="1">
      <c r="A138" s="81"/>
      <c r="B138" s="81"/>
      <c r="C138" s="81"/>
      <c r="D138" s="82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1"/>
      <c r="S138" s="8"/>
      <c r="T138" s="8"/>
      <c r="U138" s="8"/>
      <c r="V138" s="8"/>
      <c r="W138" s="8"/>
      <c r="X138" s="8"/>
      <c r="Y138" s="8"/>
      <c r="Z138" s="8"/>
    </row>
    <row r="139" ht="12.75" hidden="1" customHeight="1">
      <c r="A139" s="81"/>
      <c r="B139" s="81"/>
      <c r="C139" s="81"/>
      <c r="D139" s="82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1"/>
      <c r="S139" s="8"/>
      <c r="T139" s="8"/>
      <c r="U139" s="8"/>
      <c r="V139" s="8"/>
      <c r="W139" s="8"/>
      <c r="X139" s="8"/>
      <c r="Y139" s="8"/>
      <c r="Z139" s="8"/>
    </row>
    <row r="140" ht="12.75" hidden="1" customHeight="1">
      <c r="A140" s="81"/>
      <c r="B140" s="81"/>
      <c r="C140" s="81"/>
      <c r="D140" s="82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1"/>
      <c r="S140" s="8"/>
      <c r="T140" s="8"/>
      <c r="U140" s="8"/>
      <c r="V140" s="8"/>
      <c r="W140" s="8"/>
      <c r="X140" s="8"/>
      <c r="Y140" s="8"/>
      <c r="Z140" s="8"/>
    </row>
    <row r="141" ht="12.75" hidden="1" customHeight="1">
      <c r="A141" s="81"/>
      <c r="B141" s="81"/>
      <c r="C141" s="81"/>
      <c r="D141" s="82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1"/>
      <c r="S141" s="8"/>
      <c r="T141" s="8"/>
      <c r="U141" s="8"/>
      <c r="V141" s="8"/>
      <c r="W141" s="8"/>
      <c r="X141" s="8"/>
      <c r="Y141" s="8"/>
      <c r="Z141" s="8"/>
    </row>
    <row r="142" ht="12.75" hidden="1" customHeight="1">
      <c r="A142" s="81"/>
      <c r="B142" s="81"/>
      <c r="C142" s="81"/>
      <c r="D142" s="82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1"/>
      <c r="S142" s="8"/>
      <c r="T142" s="8"/>
      <c r="U142" s="8"/>
      <c r="V142" s="8"/>
      <c r="W142" s="8"/>
      <c r="X142" s="8"/>
      <c r="Y142" s="8"/>
      <c r="Z142" s="8"/>
    </row>
    <row r="143" ht="12.75" hidden="1" customHeight="1">
      <c r="A143" s="81"/>
      <c r="B143" s="81"/>
      <c r="C143" s="81"/>
      <c r="D143" s="82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1"/>
      <c r="S143" s="8"/>
      <c r="T143" s="8"/>
      <c r="U143" s="8"/>
      <c r="V143" s="8"/>
      <c r="W143" s="8"/>
      <c r="X143" s="8"/>
      <c r="Y143" s="8"/>
      <c r="Z143" s="8"/>
    </row>
    <row r="144" ht="12.75" hidden="1" customHeight="1">
      <c r="A144" s="81"/>
      <c r="B144" s="81"/>
      <c r="C144" s="81"/>
      <c r="D144" s="82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1"/>
      <c r="S144" s="8"/>
      <c r="T144" s="8"/>
      <c r="U144" s="8"/>
      <c r="V144" s="8"/>
      <c r="W144" s="8"/>
      <c r="X144" s="8"/>
      <c r="Y144" s="8"/>
      <c r="Z144" s="8"/>
    </row>
    <row r="145" ht="12.75" hidden="1" customHeight="1">
      <c r="A145" s="81"/>
      <c r="B145" s="81"/>
      <c r="C145" s="81"/>
      <c r="D145" s="82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1"/>
      <c r="S145" s="8"/>
      <c r="T145" s="8"/>
      <c r="U145" s="8"/>
      <c r="V145" s="8"/>
      <c r="W145" s="8"/>
      <c r="X145" s="8"/>
      <c r="Y145" s="8"/>
      <c r="Z145" s="8"/>
    </row>
    <row r="146" ht="12.75" hidden="1" customHeight="1">
      <c r="A146" s="81"/>
      <c r="B146" s="81"/>
      <c r="C146" s="81"/>
      <c r="D146" s="82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1"/>
      <c r="S146" s="8"/>
      <c r="T146" s="8"/>
      <c r="U146" s="8"/>
      <c r="V146" s="8"/>
      <c r="W146" s="8"/>
      <c r="X146" s="8"/>
      <c r="Y146" s="8"/>
      <c r="Z146" s="8"/>
    </row>
    <row r="147" ht="12.75" hidden="1" customHeight="1">
      <c r="A147" s="81"/>
      <c r="B147" s="81"/>
      <c r="C147" s="81"/>
      <c r="D147" s="82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1"/>
      <c r="S147" s="8"/>
      <c r="T147" s="8"/>
      <c r="U147" s="8"/>
      <c r="V147" s="8"/>
      <c r="W147" s="8"/>
      <c r="X147" s="8"/>
      <c r="Y147" s="8"/>
      <c r="Z147" s="8"/>
    </row>
    <row r="148" ht="12.75" hidden="1" customHeight="1">
      <c r="A148" s="81"/>
      <c r="B148" s="81"/>
      <c r="C148" s="81"/>
      <c r="D148" s="82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1"/>
      <c r="S148" s="8"/>
      <c r="T148" s="8"/>
      <c r="U148" s="8"/>
      <c r="V148" s="8"/>
      <c r="W148" s="8"/>
      <c r="X148" s="8"/>
      <c r="Y148" s="8"/>
      <c r="Z148" s="8"/>
    </row>
    <row r="149" ht="12.75" hidden="1" customHeight="1">
      <c r="A149" s="81"/>
      <c r="B149" s="81"/>
      <c r="C149" s="81"/>
      <c r="D149" s="82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1"/>
      <c r="S149" s="8"/>
      <c r="T149" s="8"/>
      <c r="U149" s="8"/>
      <c r="V149" s="8"/>
      <c r="W149" s="8"/>
      <c r="X149" s="8"/>
      <c r="Y149" s="8"/>
      <c r="Z149" s="8"/>
    </row>
    <row r="150" ht="12.75" hidden="1" customHeight="1">
      <c r="A150" s="81"/>
      <c r="B150" s="81"/>
      <c r="C150" s="81"/>
      <c r="D150" s="82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1"/>
      <c r="S150" s="8"/>
      <c r="T150" s="8"/>
      <c r="U150" s="8"/>
      <c r="V150" s="8"/>
      <c r="W150" s="8"/>
      <c r="X150" s="8"/>
      <c r="Y150" s="8"/>
      <c r="Z150" s="8"/>
    </row>
    <row r="151" ht="12.75" hidden="1" customHeight="1">
      <c r="A151" s="81"/>
      <c r="B151" s="81"/>
      <c r="C151" s="81"/>
      <c r="D151" s="82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1"/>
      <c r="S151" s="8"/>
      <c r="T151" s="8"/>
      <c r="U151" s="8"/>
      <c r="V151" s="8"/>
      <c r="W151" s="8"/>
      <c r="X151" s="8"/>
      <c r="Y151" s="8"/>
      <c r="Z151" s="8"/>
    </row>
    <row r="152" ht="12.75" hidden="1" customHeight="1">
      <c r="A152" s="81"/>
      <c r="B152" s="81"/>
      <c r="C152" s="81"/>
      <c r="D152" s="82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1"/>
      <c r="S152" s="8"/>
      <c r="T152" s="8"/>
      <c r="U152" s="8"/>
      <c r="V152" s="8"/>
      <c r="W152" s="8"/>
      <c r="X152" s="8"/>
      <c r="Y152" s="8"/>
      <c r="Z152" s="8"/>
    </row>
    <row r="153" ht="12.75" hidden="1" customHeight="1">
      <c r="A153" s="81"/>
      <c r="B153" s="81"/>
      <c r="C153" s="81"/>
      <c r="D153" s="82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1"/>
      <c r="S153" s="8"/>
      <c r="T153" s="8"/>
      <c r="U153" s="8"/>
      <c r="V153" s="8"/>
      <c r="W153" s="8"/>
      <c r="X153" s="8"/>
      <c r="Y153" s="8"/>
      <c r="Z153" s="8"/>
    </row>
    <row r="154" ht="12.75" hidden="1" customHeight="1">
      <c r="A154" s="81"/>
      <c r="B154" s="81"/>
      <c r="C154" s="81"/>
      <c r="D154" s="82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1"/>
      <c r="S154" s="8"/>
      <c r="T154" s="8"/>
      <c r="U154" s="8"/>
      <c r="V154" s="8"/>
      <c r="W154" s="8"/>
      <c r="X154" s="8"/>
      <c r="Y154" s="8"/>
      <c r="Z154" s="8"/>
    </row>
    <row r="155" ht="12.75" hidden="1" customHeight="1">
      <c r="A155" s="81"/>
      <c r="B155" s="81"/>
      <c r="C155" s="81"/>
      <c r="D155" s="82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1"/>
      <c r="S155" s="8"/>
      <c r="T155" s="8"/>
      <c r="U155" s="8"/>
      <c r="V155" s="8"/>
      <c r="W155" s="8"/>
      <c r="X155" s="8"/>
      <c r="Y155" s="8"/>
      <c r="Z155" s="8"/>
    </row>
    <row r="156" ht="12.75" hidden="1" customHeight="1">
      <c r="A156" s="81"/>
      <c r="B156" s="81"/>
      <c r="C156" s="81"/>
      <c r="D156" s="82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1"/>
      <c r="S156" s="8"/>
      <c r="T156" s="8"/>
      <c r="U156" s="8"/>
      <c r="V156" s="8"/>
      <c r="W156" s="8"/>
      <c r="X156" s="8"/>
      <c r="Y156" s="8"/>
      <c r="Z156" s="8"/>
    </row>
    <row r="157" ht="12.75" hidden="1" customHeight="1">
      <c r="A157" s="81"/>
      <c r="B157" s="81"/>
      <c r="C157" s="81"/>
      <c r="D157" s="82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1"/>
      <c r="S157" s="8"/>
      <c r="T157" s="8"/>
      <c r="U157" s="8"/>
      <c r="V157" s="8"/>
      <c r="W157" s="8"/>
      <c r="X157" s="8"/>
      <c r="Y157" s="8"/>
      <c r="Z157" s="8"/>
    </row>
    <row r="158" ht="12.75" hidden="1" customHeight="1">
      <c r="A158" s="81"/>
      <c r="B158" s="81"/>
      <c r="C158" s="81"/>
      <c r="D158" s="82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1"/>
      <c r="S158" s="8"/>
      <c r="T158" s="8"/>
      <c r="U158" s="8"/>
      <c r="V158" s="8"/>
      <c r="W158" s="8"/>
      <c r="X158" s="8"/>
      <c r="Y158" s="8"/>
      <c r="Z158" s="8"/>
    </row>
    <row r="159" ht="12.75" hidden="1" customHeight="1">
      <c r="A159" s="81"/>
      <c r="B159" s="81"/>
      <c r="C159" s="81"/>
      <c r="D159" s="82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1"/>
      <c r="S159" s="8"/>
      <c r="T159" s="8"/>
      <c r="U159" s="8"/>
      <c r="V159" s="8"/>
      <c r="W159" s="8"/>
      <c r="X159" s="8"/>
      <c r="Y159" s="8"/>
      <c r="Z159" s="8"/>
    </row>
    <row r="160" ht="12.75" hidden="1" customHeight="1">
      <c r="A160" s="81"/>
      <c r="B160" s="81"/>
      <c r="C160" s="81"/>
      <c r="D160" s="82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1"/>
      <c r="S160" s="8"/>
      <c r="T160" s="8"/>
      <c r="U160" s="8"/>
      <c r="V160" s="8"/>
      <c r="W160" s="8"/>
      <c r="X160" s="8"/>
      <c r="Y160" s="8"/>
      <c r="Z160" s="8"/>
    </row>
    <row r="161" ht="12.75" hidden="1" customHeight="1">
      <c r="A161" s="81"/>
      <c r="B161" s="81"/>
      <c r="C161" s="81"/>
      <c r="D161" s="82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1"/>
      <c r="S161" s="8"/>
      <c r="T161" s="8"/>
      <c r="U161" s="8"/>
      <c r="V161" s="8"/>
      <c r="W161" s="8"/>
      <c r="X161" s="8"/>
      <c r="Y161" s="8"/>
      <c r="Z161" s="8"/>
    </row>
    <row r="162" ht="12.75" hidden="1" customHeight="1">
      <c r="A162" s="81"/>
      <c r="B162" s="81"/>
      <c r="C162" s="81"/>
      <c r="D162" s="82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1"/>
      <c r="S162" s="8"/>
      <c r="T162" s="8"/>
      <c r="U162" s="8"/>
      <c r="V162" s="8"/>
      <c r="W162" s="8"/>
      <c r="X162" s="8"/>
      <c r="Y162" s="8"/>
      <c r="Z162" s="8"/>
    </row>
    <row r="163" ht="12.75" hidden="1" customHeight="1">
      <c r="A163" s="81"/>
      <c r="B163" s="81"/>
      <c r="C163" s="81"/>
      <c r="D163" s="82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1"/>
      <c r="S163" s="8"/>
      <c r="T163" s="8"/>
      <c r="U163" s="8"/>
      <c r="V163" s="8"/>
      <c r="W163" s="8"/>
      <c r="X163" s="8"/>
      <c r="Y163" s="8"/>
      <c r="Z163" s="8"/>
    </row>
    <row r="164" ht="12.75" hidden="1" customHeight="1">
      <c r="A164" s="81"/>
      <c r="B164" s="81"/>
      <c r="C164" s="81"/>
      <c r="D164" s="82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1"/>
      <c r="S164" s="8"/>
      <c r="T164" s="8"/>
      <c r="U164" s="8"/>
      <c r="V164" s="8"/>
      <c r="W164" s="8"/>
      <c r="X164" s="8"/>
      <c r="Y164" s="8"/>
      <c r="Z164" s="8"/>
    </row>
    <row r="165" ht="12.75" hidden="1" customHeight="1">
      <c r="A165" s="81"/>
      <c r="B165" s="81"/>
      <c r="C165" s="81"/>
      <c r="D165" s="82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1"/>
      <c r="S165" s="8"/>
      <c r="T165" s="8"/>
      <c r="U165" s="8"/>
      <c r="V165" s="8"/>
      <c r="W165" s="8"/>
      <c r="X165" s="8"/>
      <c r="Y165" s="8"/>
      <c r="Z165" s="8"/>
    </row>
    <row r="166" ht="12.75" hidden="1" customHeight="1">
      <c r="A166" s="81"/>
      <c r="B166" s="81"/>
      <c r="C166" s="81"/>
      <c r="D166" s="82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1"/>
      <c r="S166" s="8"/>
      <c r="T166" s="8"/>
      <c r="U166" s="8"/>
      <c r="V166" s="8"/>
      <c r="W166" s="8"/>
      <c r="X166" s="8"/>
      <c r="Y166" s="8"/>
      <c r="Z166" s="8"/>
    </row>
    <row r="167" ht="12.75" hidden="1" customHeight="1">
      <c r="A167" s="81"/>
      <c r="B167" s="81"/>
      <c r="C167" s="81"/>
      <c r="D167" s="82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1"/>
      <c r="S167" s="8"/>
      <c r="T167" s="8"/>
      <c r="U167" s="8"/>
      <c r="V167" s="8"/>
      <c r="W167" s="8"/>
      <c r="X167" s="8"/>
      <c r="Y167" s="8"/>
      <c r="Z167" s="8"/>
    </row>
    <row r="168" ht="12.75" hidden="1" customHeight="1">
      <c r="A168" s="81"/>
      <c r="B168" s="81"/>
      <c r="C168" s="81"/>
      <c r="D168" s="82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1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1"/>
      <c r="B169" s="81"/>
      <c r="C169" s="81"/>
      <c r="D169" s="82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1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1"/>
      <c r="B170" s="81"/>
      <c r="C170" s="81"/>
      <c r="D170" s="82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1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1"/>
      <c r="B171" s="81"/>
      <c r="C171" s="81"/>
      <c r="D171" s="82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1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1"/>
      <c r="B172" s="81"/>
      <c r="C172" s="81"/>
      <c r="D172" s="82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1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1"/>
      <c r="B173" s="81"/>
      <c r="C173" s="81"/>
      <c r="D173" s="82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1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1"/>
      <c r="B174" s="81"/>
      <c r="C174" s="81"/>
      <c r="D174" s="82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1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1"/>
      <c r="B175" s="81"/>
      <c r="C175" s="81"/>
      <c r="D175" s="82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1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1"/>
      <c r="B176" s="81"/>
      <c r="C176" s="81"/>
      <c r="D176" s="82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1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1"/>
      <c r="B177" s="81"/>
      <c r="C177" s="81"/>
      <c r="D177" s="82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1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1"/>
      <c r="B178" s="81"/>
      <c r="C178" s="81"/>
      <c r="D178" s="82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1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1"/>
      <c r="B179" s="81"/>
      <c r="C179" s="81"/>
      <c r="D179" s="82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1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1"/>
      <c r="B180" s="81"/>
      <c r="C180" s="81"/>
      <c r="D180" s="82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1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1"/>
      <c r="B181" s="81"/>
      <c r="C181" s="81"/>
      <c r="D181" s="82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1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1"/>
      <c r="B182" s="81"/>
      <c r="C182" s="81"/>
      <c r="D182" s="82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1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1"/>
      <c r="B183" s="81"/>
      <c r="C183" s="81"/>
      <c r="D183" s="82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1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1"/>
      <c r="B184" s="81"/>
      <c r="C184" s="81"/>
      <c r="D184" s="82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1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1"/>
      <c r="B185" s="81"/>
      <c r="C185" s="81"/>
      <c r="D185" s="82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1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1"/>
      <c r="B186" s="81"/>
      <c r="C186" s="81"/>
      <c r="D186" s="82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1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1"/>
      <c r="B187" s="81"/>
      <c r="C187" s="81"/>
      <c r="D187" s="82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1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1"/>
      <c r="B188" s="81"/>
      <c r="C188" s="81"/>
      <c r="D188" s="82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1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1"/>
      <c r="B189" s="81"/>
      <c r="C189" s="81"/>
      <c r="D189" s="82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1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1"/>
      <c r="B190" s="81"/>
      <c r="C190" s="81"/>
      <c r="D190" s="82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1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1"/>
      <c r="B191" s="81"/>
      <c r="C191" s="81"/>
      <c r="D191" s="82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1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1"/>
      <c r="B192" s="81"/>
      <c r="C192" s="81"/>
      <c r="D192" s="82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1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1"/>
      <c r="B193" s="81"/>
      <c r="C193" s="81"/>
      <c r="D193" s="82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1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1"/>
      <c r="B194" s="81"/>
      <c r="C194" s="81"/>
      <c r="D194" s="82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1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1"/>
      <c r="B195" s="81"/>
      <c r="C195" s="81"/>
      <c r="D195" s="82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1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1"/>
      <c r="B196" s="81"/>
      <c r="C196" s="81"/>
      <c r="D196" s="82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1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1"/>
      <c r="B197" s="81"/>
      <c r="C197" s="81"/>
      <c r="D197" s="82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1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1"/>
      <c r="B198" s="81"/>
      <c r="C198" s="81"/>
      <c r="D198" s="82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1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1"/>
      <c r="B199" s="81"/>
      <c r="C199" s="81"/>
      <c r="D199" s="82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1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1"/>
      <c r="B200" s="81"/>
      <c r="C200" s="81"/>
      <c r="D200" s="82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1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1"/>
      <c r="B201" s="81"/>
      <c r="C201" s="81"/>
      <c r="D201" s="82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1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1"/>
      <c r="B202" s="81"/>
      <c r="C202" s="81"/>
      <c r="D202" s="82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1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1"/>
      <c r="B203" s="81"/>
      <c r="C203" s="81"/>
      <c r="D203" s="82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1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1"/>
      <c r="B204" s="81"/>
      <c r="C204" s="81"/>
      <c r="D204" s="82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1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1"/>
      <c r="B205" s="81"/>
      <c r="C205" s="81"/>
      <c r="D205" s="82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1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1"/>
      <c r="B206" s="81"/>
      <c r="C206" s="81"/>
      <c r="D206" s="82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1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1"/>
      <c r="B207" s="81"/>
      <c r="C207" s="81"/>
      <c r="D207" s="82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1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1"/>
      <c r="B208" s="81"/>
      <c r="C208" s="81"/>
      <c r="D208" s="82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1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1"/>
      <c r="B209" s="81"/>
      <c r="C209" s="81"/>
      <c r="D209" s="82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1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1"/>
      <c r="B210" s="81"/>
      <c r="C210" s="81"/>
      <c r="D210" s="82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1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1"/>
      <c r="B211" s="81"/>
      <c r="C211" s="81"/>
      <c r="D211" s="82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1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1"/>
      <c r="B212" s="81"/>
      <c r="C212" s="81"/>
      <c r="D212" s="82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1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1"/>
      <c r="B213" s="81"/>
      <c r="C213" s="81"/>
      <c r="D213" s="82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1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1"/>
      <c r="B214" s="81"/>
      <c r="C214" s="81"/>
      <c r="D214" s="82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1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1"/>
      <c r="B215" s="81"/>
      <c r="C215" s="81"/>
      <c r="D215" s="82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1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1"/>
      <c r="B216" s="81"/>
      <c r="C216" s="81"/>
      <c r="D216" s="82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1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1"/>
      <c r="B217" s="81"/>
      <c r="C217" s="81"/>
      <c r="D217" s="82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1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1"/>
      <c r="B218" s="81"/>
      <c r="C218" s="81"/>
      <c r="D218" s="82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1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1"/>
      <c r="B219" s="81"/>
      <c r="C219" s="81"/>
      <c r="D219" s="82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1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1"/>
      <c r="B220" s="81"/>
      <c r="C220" s="81"/>
      <c r="D220" s="82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1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1"/>
      <c r="B221" s="81"/>
      <c r="C221" s="81"/>
      <c r="D221" s="82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1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1"/>
      <c r="B222" s="81"/>
      <c r="C222" s="81"/>
      <c r="D222" s="82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1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1"/>
      <c r="B223" s="81"/>
      <c r="C223" s="81"/>
      <c r="D223" s="82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1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1"/>
      <c r="B224" s="81"/>
      <c r="C224" s="81"/>
      <c r="D224" s="82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1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1"/>
      <c r="B225" s="81"/>
      <c r="C225" s="81"/>
      <c r="D225" s="82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1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1"/>
      <c r="B226" s="81"/>
      <c r="C226" s="81"/>
      <c r="D226" s="82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1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1"/>
      <c r="B227" s="81"/>
      <c r="C227" s="81"/>
      <c r="D227" s="82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1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1"/>
      <c r="B228" s="81"/>
      <c r="C228" s="81"/>
      <c r="D228" s="82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1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1"/>
      <c r="B229" s="81"/>
      <c r="C229" s="81"/>
      <c r="D229" s="82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1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1"/>
      <c r="B230" s="81"/>
      <c r="C230" s="81"/>
      <c r="D230" s="82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1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1"/>
      <c r="B231" s="81"/>
      <c r="C231" s="81"/>
      <c r="D231" s="82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1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1"/>
      <c r="B232" s="81"/>
      <c r="C232" s="81"/>
      <c r="D232" s="82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1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1"/>
      <c r="B233" s="81"/>
      <c r="C233" s="81"/>
      <c r="D233" s="82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1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1"/>
      <c r="B234" s="81"/>
      <c r="C234" s="81"/>
      <c r="D234" s="82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1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1"/>
      <c r="B235" s="81"/>
      <c r="C235" s="81"/>
      <c r="D235" s="82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1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1"/>
      <c r="B236" s="81"/>
      <c r="C236" s="81"/>
      <c r="D236" s="82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1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1"/>
      <c r="B237" s="81"/>
      <c r="C237" s="81"/>
      <c r="D237" s="82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1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1"/>
      <c r="B238" s="81"/>
      <c r="C238" s="81"/>
      <c r="D238" s="82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1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1"/>
      <c r="B239" s="81"/>
      <c r="C239" s="81"/>
      <c r="D239" s="82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1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1"/>
      <c r="B240" s="81"/>
      <c r="C240" s="81"/>
      <c r="D240" s="82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1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1"/>
      <c r="B241" s="81"/>
      <c r="C241" s="81"/>
      <c r="D241" s="82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1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1"/>
      <c r="B242" s="81"/>
      <c r="C242" s="81"/>
      <c r="D242" s="82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1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1"/>
      <c r="B243" s="81"/>
      <c r="C243" s="81"/>
      <c r="D243" s="82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1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1"/>
      <c r="B244" s="81"/>
      <c r="C244" s="81"/>
      <c r="D244" s="82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1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1"/>
      <c r="B245" s="81"/>
      <c r="C245" s="81"/>
      <c r="D245" s="82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1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1"/>
      <c r="B246" s="81"/>
      <c r="C246" s="81"/>
      <c r="D246" s="82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1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1"/>
      <c r="B247" s="81"/>
      <c r="C247" s="81"/>
      <c r="D247" s="82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1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1"/>
      <c r="B248" s="81"/>
      <c r="C248" s="81"/>
      <c r="D248" s="82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1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1"/>
      <c r="B249" s="81"/>
      <c r="C249" s="81"/>
      <c r="D249" s="82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1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1"/>
      <c r="B250" s="81"/>
      <c r="C250" s="81"/>
      <c r="D250" s="82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1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1"/>
      <c r="B251" s="81"/>
      <c r="C251" s="81"/>
      <c r="D251" s="82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1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1"/>
      <c r="B252" s="81"/>
      <c r="C252" s="81"/>
      <c r="D252" s="82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1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1"/>
      <c r="B253" s="81"/>
      <c r="C253" s="81"/>
      <c r="D253" s="82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1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1"/>
      <c r="B254" s="81"/>
      <c r="C254" s="81"/>
      <c r="D254" s="82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1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1"/>
      <c r="B255" s="81"/>
      <c r="C255" s="81"/>
      <c r="D255" s="82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1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1"/>
      <c r="B256" s="81"/>
      <c r="C256" s="81"/>
      <c r="D256" s="82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1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1"/>
      <c r="B257" s="81"/>
      <c r="C257" s="81"/>
      <c r="D257" s="82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1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1"/>
      <c r="B258" s="81"/>
      <c r="C258" s="81"/>
      <c r="D258" s="82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1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1"/>
      <c r="B259" s="81"/>
      <c r="C259" s="81"/>
      <c r="D259" s="82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1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1"/>
      <c r="B260" s="81"/>
      <c r="C260" s="81"/>
      <c r="D260" s="82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1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1"/>
      <c r="B261" s="81"/>
      <c r="C261" s="81"/>
      <c r="D261" s="82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1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1"/>
      <c r="B262" s="81"/>
      <c r="C262" s="81"/>
      <c r="D262" s="82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1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1"/>
      <c r="B263" s="81"/>
      <c r="C263" s="81"/>
      <c r="D263" s="82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1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1"/>
      <c r="B264" s="81"/>
      <c r="C264" s="81"/>
      <c r="D264" s="82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1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1"/>
      <c r="B265" s="81"/>
      <c r="C265" s="81"/>
      <c r="D265" s="82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1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1"/>
      <c r="B266" s="81"/>
      <c r="C266" s="81"/>
      <c r="D266" s="82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1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1"/>
      <c r="B267" s="81"/>
      <c r="C267" s="81"/>
      <c r="D267" s="82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1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1"/>
      <c r="B268" s="81"/>
      <c r="C268" s="81"/>
      <c r="D268" s="82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1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1"/>
      <c r="B269" s="81"/>
      <c r="C269" s="81"/>
      <c r="D269" s="82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1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1"/>
      <c r="B270" s="81"/>
      <c r="C270" s="81"/>
      <c r="D270" s="82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1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1"/>
      <c r="B271" s="81"/>
      <c r="C271" s="81"/>
      <c r="D271" s="82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1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1"/>
      <c r="B272" s="81"/>
      <c r="C272" s="81"/>
      <c r="D272" s="82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1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1"/>
      <c r="B273" s="81"/>
      <c r="C273" s="81"/>
      <c r="D273" s="82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1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1"/>
      <c r="B274" s="81"/>
      <c r="C274" s="81"/>
      <c r="D274" s="82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1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1"/>
      <c r="B275" s="81"/>
      <c r="C275" s="81"/>
      <c r="D275" s="82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1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1"/>
      <c r="B276" s="81"/>
      <c r="C276" s="81"/>
      <c r="D276" s="82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1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1"/>
      <c r="B277" s="81"/>
      <c r="C277" s="81"/>
      <c r="D277" s="82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1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1"/>
      <c r="B278" s="81"/>
      <c r="C278" s="81"/>
      <c r="D278" s="82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1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1"/>
      <c r="B279" s="81"/>
      <c r="C279" s="81"/>
      <c r="D279" s="82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1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1"/>
      <c r="B280" s="81"/>
      <c r="C280" s="81"/>
      <c r="D280" s="82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1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1"/>
      <c r="B281" s="81"/>
      <c r="C281" s="81"/>
      <c r="D281" s="82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1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1"/>
      <c r="B282" s="81"/>
      <c r="C282" s="81"/>
      <c r="D282" s="82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1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1"/>
      <c r="B283" s="81"/>
      <c r="C283" s="81"/>
      <c r="D283" s="82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1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1"/>
      <c r="B284" s="81"/>
      <c r="C284" s="81"/>
      <c r="D284" s="82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1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1"/>
      <c r="B285" s="81"/>
      <c r="C285" s="81"/>
      <c r="D285" s="82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1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1"/>
      <c r="B286" s="81"/>
      <c r="C286" s="81"/>
      <c r="D286" s="82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1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1"/>
      <c r="B287" s="81"/>
      <c r="C287" s="81"/>
      <c r="D287" s="82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1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1"/>
      <c r="B288" s="81"/>
      <c r="C288" s="81"/>
      <c r="D288" s="82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1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1"/>
      <c r="B289" s="81"/>
      <c r="C289" s="81"/>
      <c r="D289" s="82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1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1"/>
      <c r="B290" s="81"/>
      <c r="C290" s="81"/>
      <c r="D290" s="82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1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1"/>
      <c r="B291" s="81"/>
      <c r="C291" s="81"/>
      <c r="D291" s="82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1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1"/>
      <c r="B292" s="81"/>
      <c r="C292" s="81"/>
      <c r="D292" s="82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1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1"/>
      <c r="B293" s="81"/>
      <c r="C293" s="81"/>
      <c r="D293" s="82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1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1"/>
      <c r="B294" s="81"/>
      <c r="C294" s="81"/>
      <c r="D294" s="82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1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1"/>
      <c r="B295" s="81"/>
      <c r="C295" s="81"/>
      <c r="D295" s="82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1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1"/>
      <c r="B296" s="81"/>
      <c r="C296" s="81"/>
      <c r="D296" s="82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1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1"/>
      <c r="B297" s="81"/>
      <c r="C297" s="81"/>
      <c r="D297" s="82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1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1"/>
      <c r="B298" s="81"/>
      <c r="C298" s="81"/>
      <c r="D298" s="82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1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1"/>
      <c r="B299" s="81"/>
      <c r="C299" s="81"/>
      <c r="D299" s="82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1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1"/>
      <c r="B300" s="81"/>
      <c r="C300" s="81"/>
      <c r="D300" s="82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1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1"/>
      <c r="B301" s="81"/>
      <c r="C301" s="81"/>
      <c r="D301" s="82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1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1"/>
      <c r="B302" s="81"/>
      <c r="C302" s="81"/>
      <c r="D302" s="82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1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1"/>
      <c r="B303" s="81"/>
      <c r="C303" s="81"/>
      <c r="D303" s="82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1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1"/>
      <c r="B304" s="81"/>
      <c r="C304" s="81"/>
      <c r="D304" s="82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1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1"/>
      <c r="B305" s="81"/>
      <c r="C305" s="81"/>
      <c r="D305" s="82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1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1"/>
      <c r="B306" s="81"/>
      <c r="C306" s="81"/>
      <c r="D306" s="82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1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1"/>
      <c r="B307" s="81"/>
      <c r="C307" s="81"/>
      <c r="D307" s="82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1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1"/>
      <c r="B308" s="81"/>
      <c r="C308" s="81"/>
      <c r="D308" s="82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1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1"/>
      <c r="B309" s="81"/>
      <c r="C309" s="81"/>
      <c r="D309" s="82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1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1"/>
      <c r="B310" s="81"/>
      <c r="C310" s="81"/>
      <c r="D310" s="82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1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1"/>
      <c r="B311" s="81"/>
      <c r="C311" s="81"/>
      <c r="D311" s="82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1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1"/>
      <c r="B312" s="81"/>
      <c r="C312" s="81"/>
      <c r="D312" s="82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1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1"/>
      <c r="B313" s="81"/>
      <c r="C313" s="81"/>
      <c r="D313" s="82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1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1"/>
      <c r="B314" s="81"/>
      <c r="C314" s="81"/>
      <c r="D314" s="82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1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1"/>
      <c r="B315" s="81"/>
      <c r="C315" s="81"/>
      <c r="D315" s="82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1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1"/>
      <c r="B316" s="81"/>
      <c r="C316" s="81"/>
      <c r="D316" s="82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1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1"/>
      <c r="B317" s="81"/>
      <c r="C317" s="81"/>
      <c r="D317" s="82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1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1"/>
      <c r="B318" s="81"/>
      <c r="C318" s="81"/>
      <c r="D318" s="82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1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1"/>
      <c r="B319" s="81"/>
      <c r="C319" s="81"/>
      <c r="D319" s="82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1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1"/>
      <c r="B320" s="81"/>
      <c r="C320" s="81"/>
      <c r="D320" s="82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1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1"/>
      <c r="B321" s="81"/>
      <c r="C321" s="81"/>
      <c r="D321" s="82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1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1"/>
      <c r="B322" s="81"/>
      <c r="C322" s="81"/>
      <c r="D322" s="82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1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1"/>
      <c r="B323" s="81"/>
      <c r="C323" s="81"/>
      <c r="D323" s="82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1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1"/>
      <c r="B324" s="81"/>
      <c r="C324" s="81"/>
      <c r="D324" s="82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1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1"/>
      <c r="B325" s="81"/>
      <c r="C325" s="81"/>
      <c r="D325" s="82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1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1"/>
      <c r="B326" s="81"/>
      <c r="C326" s="81"/>
      <c r="D326" s="82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1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1"/>
      <c r="B327" s="81"/>
      <c r="C327" s="81"/>
      <c r="D327" s="82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1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1"/>
      <c r="B328" s="81"/>
      <c r="C328" s="81"/>
      <c r="D328" s="82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1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1"/>
      <c r="B329" s="81"/>
      <c r="C329" s="81"/>
      <c r="D329" s="82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1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1"/>
      <c r="B330" s="81"/>
      <c r="C330" s="81"/>
      <c r="D330" s="82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1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1"/>
      <c r="B331" s="81"/>
      <c r="C331" s="81"/>
      <c r="D331" s="82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1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1"/>
      <c r="B332" s="81"/>
      <c r="C332" s="81"/>
      <c r="D332" s="82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1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1"/>
      <c r="B333" s="81"/>
      <c r="C333" s="81"/>
      <c r="D333" s="82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1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1"/>
      <c r="B334" s="81"/>
      <c r="C334" s="81"/>
      <c r="D334" s="82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1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1"/>
      <c r="B335" s="81"/>
      <c r="C335" s="81"/>
      <c r="D335" s="82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1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1"/>
      <c r="B336" s="81"/>
      <c r="C336" s="81"/>
      <c r="D336" s="82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1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1"/>
      <c r="B337" s="81"/>
      <c r="C337" s="81"/>
      <c r="D337" s="82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1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1"/>
      <c r="B338" s="81"/>
      <c r="C338" s="81"/>
      <c r="D338" s="82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1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1"/>
      <c r="B339" s="81"/>
      <c r="C339" s="81"/>
      <c r="D339" s="82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1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1"/>
      <c r="B340" s="81"/>
      <c r="C340" s="81"/>
      <c r="D340" s="82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1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1"/>
      <c r="B341" s="81"/>
      <c r="C341" s="81"/>
      <c r="D341" s="82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1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1"/>
      <c r="B342" s="81"/>
      <c r="C342" s="81"/>
      <c r="D342" s="82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1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1"/>
      <c r="B343" s="81"/>
      <c r="C343" s="81"/>
      <c r="D343" s="82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1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1"/>
      <c r="B344" s="81"/>
      <c r="C344" s="81"/>
      <c r="D344" s="82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1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1"/>
      <c r="B345" s="81"/>
      <c r="C345" s="81"/>
      <c r="D345" s="82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1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1"/>
      <c r="B346" s="81"/>
      <c r="C346" s="81"/>
      <c r="D346" s="82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1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1"/>
      <c r="B347" s="81"/>
      <c r="C347" s="81"/>
      <c r="D347" s="82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1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1"/>
      <c r="B348" s="81"/>
      <c r="C348" s="81"/>
      <c r="D348" s="82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1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1"/>
      <c r="B349" s="81"/>
      <c r="C349" s="81"/>
      <c r="D349" s="82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1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1"/>
      <c r="B350" s="81"/>
      <c r="C350" s="81"/>
      <c r="D350" s="82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1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1"/>
      <c r="B351" s="81"/>
      <c r="C351" s="81"/>
      <c r="D351" s="82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1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1"/>
      <c r="B352" s="81"/>
      <c r="C352" s="81"/>
      <c r="D352" s="82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1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1"/>
      <c r="B353" s="81"/>
      <c r="C353" s="81"/>
      <c r="D353" s="82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1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1"/>
      <c r="B354" s="81"/>
      <c r="C354" s="81"/>
      <c r="D354" s="82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1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1"/>
      <c r="B355" s="81"/>
      <c r="C355" s="81"/>
      <c r="D355" s="82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1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1"/>
      <c r="B356" s="81"/>
      <c r="C356" s="81"/>
      <c r="D356" s="82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1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1"/>
      <c r="B357" s="81"/>
      <c r="C357" s="81"/>
      <c r="D357" s="82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1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1"/>
      <c r="B358" s="81"/>
      <c r="C358" s="81"/>
      <c r="D358" s="82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1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1"/>
      <c r="B359" s="81"/>
      <c r="C359" s="81"/>
      <c r="D359" s="82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1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1"/>
      <c r="B360" s="81"/>
      <c r="C360" s="81"/>
      <c r="D360" s="82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1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1"/>
      <c r="B361" s="81"/>
      <c r="C361" s="81"/>
      <c r="D361" s="82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1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1"/>
      <c r="B362" s="81"/>
      <c r="C362" s="81"/>
      <c r="D362" s="82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1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1"/>
      <c r="B363" s="81"/>
      <c r="C363" s="81"/>
      <c r="D363" s="82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1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1"/>
      <c r="B364" s="81"/>
      <c r="C364" s="81"/>
      <c r="D364" s="82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1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1"/>
      <c r="B365" s="81"/>
      <c r="C365" s="81"/>
      <c r="D365" s="82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1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1"/>
      <c r="B366" s="81"/>
      <c r="C366" s="81"/>
      <c r="D366" s="82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1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1"/>
      <c r="B367" s="81"/>
      <c r="C367" s="81"/>
      <c r="D367" s="82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1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1"/>
      <c r="B368" s="81"/>
      <c r="C368" s="81"/>
      <c r="D368" s="82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1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1"/>
      <c r="B369" s="81"/>
      <c r="C369" s="81"/>
      <c r="D369" s="82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1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1"/>
      <c r="B370" s="81"/>
      <c r="C370" s="81"/>
      <c r="D370" s="82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1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1"/>
      <c r="B371" s="81"/>
      <c r="C371" s="81"/>
      <c r="D371" s="82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1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1"/>
      <c r="B372" s="81"/>
      <c r="C372" s="81"/>
      <c r="D372" s="82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1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1"/>
      <c r="B373" s="81"/>
      <c r="C373" s="81"/>
      <c r="D373" s="82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1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1"/>
      <c r="B374" s="81"/>
      <c r="C374" s="81"/>
      <c r="D374" s="82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1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1"/>
      <c r="B375" s="81"/>
      <c r="C375" s="81"/>
      <c r="D375" s="82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1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1"/>
      <c r="B376" s="81"/>
      <c r="C376" s="81"/>
      <c r="D376" s="82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1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1"/>
      <c r="B377" s="81"/>
      <c r="C377" s="81"/>
      <c r="D377" s="82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1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1"/>
      <c r="B378" s="81"/>
      <c r="C378" s="81"/>
      <c r="D378" s="82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1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1"/>
      <c r="B379" s="81"/>
      <c r="C379" s="81"/>
      <c r="D379" s="82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1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1"/>
      <c r="B380" s="81"/>
      <c r="C380" s="81"/>
      <c r="D380" s="82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1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1"/>
      <c r="B381" s="81"/>
      <c r="C381" s="81"/>
      <c r="D381" s="82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1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1"/>
      <c r="B382" s="81"/>
      <c r="C382" s="81"/>
      <c r="D382" s="82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1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1"/>
      <c r="B383" s="81"/>
      <c r="C383" s="81"/>
      <c r="D383" s="82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1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1"/>
      <c r="B384" s="81"/>
      <c r="C384" s="81"/>
      <c r="D384" s="82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1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1"/>
      <c r="B385" s="81"/>
      <c r="C385" s="81"/>
      <c r="D385" s="82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1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1"/>
      <c r="B386" s="81"/>
      <c r="C386" s="81"/>
      <c r="D386" s="82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1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1"/>
      <c r="B387" s="81"/>
      <c r="C387" s="81"/>
      <c r="D387" s="82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1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1"/>
      <c r="B388" s="81"/>
      <c r="C388" s="81"/>
      <c r="D388" s="82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1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1"/>
      <c r="B389" s="81"/>
      <c r="C389" s="81"/>
      <c r="D389" s="82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1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1"/>
      <c r="B390" s="81"/>
      <c r="C390" s="81"/>
      <c r="D390" s="82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1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1"/>
      <c r="B391" s="81"/>
      <c r="C391" s="81"/>
      <c r="D391" s="82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1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1"/>
      <c r="B392" s="81"/>
      <c r="C392" s="81"/>
      <c r="D392" s="82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1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1"/>
      <c r="B393" s="81"/>
      <c r="C393" s="81"/>
      <c r="D393" s="82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1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1"/>
      <c r="B394" s="81"/>
      <c r="C394" s="81"/>
      <c r="D394" s="82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1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1"/>
      <c r="B395" s="81"/>
      <c r="C395" s="81"/>
      <c r="D395" s="82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1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1"/>
      <c r="B396" s="81"/>
      <c r="C396" s="81"/>
      <c r="D396" s="82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1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1"/>
      <c r="B397" s="81"/>
      <c r="C397" s="81"/>
      <c r="D397" s="82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1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1"/>
      <c r="B398" s="81"/>
      <c r="C398" s="81"/>
      <c r="D398" s="82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1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1"/>
      <c r="B399" s="81"/>
      <c r="C399" s="81"/>
      <c r="D399" s="82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1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1"/>
      <c r="B400" s="81"/>
      <c r="C400" s="81"/>
      <c r="D400" s="82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1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1"/>
      <c r="B401" s="81"/>
      <c r="C401" s="81"/>
      <c r="D401" s="82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1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1"/>
      <c r="B402" s="81"/>
      <c r="C402" s="81"/>
      <c r="D402" s="82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1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1"/>
      <c r="B403" s="81"/>
      <c r="C403" s="81"/>
      <c r="D403" s="82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1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1"/>
      <c r="B404" s="81"/>
      <c r="C404" s="81"/>
      <c r="D404" s="82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1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1"/>
      <c r="B405" s="81"/>
      <c r="C405" s="81"/>
      <c r="D405" s="82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1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1"/>
      <c r="B406" s="81"/>
      <c r="C406" s="81"/>
      <c r="D406" s="82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1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1"/>
      <c r="B407" s="81"/>
      <c r="C407" s="81"/>
      <c r="D407" s="82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1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1"/>
      <c r="B408" s="81"/>
      <c r="C408" s="81"/>
      <c r="D408" s="82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1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1"/>
      <c r="B409" s="81"/>
      <c r="C409" s="81"/>
      <c r="D409" s="82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1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1"/>
      <c r="B410" s="81"/>
      <c r="C410" s="81"/>
      <c r="D410" s="82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1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1"/>
      <c r="B411" s="81"/>
      <c r="C411" s="81"/>
      <c r="D411" s="82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1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1"/>
      <c r="B412" s="81"/>
      <c r="C412" s="81"/>
      <c r="D412" s="82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1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1"/>
      <c r="B413" s="81"/>
      <c r="C413" s="81"/>
      <c r="D413" s="82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1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1"/>
      <c r="B414" s="81"/>
      <c r="C414" s="81"/>
      <c r="D414" s="82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1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1"/>
      <c r="B415" s="81"/>
      <c r="C415" s="81"/>
      <c r="D415" s="82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1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1"/>
      <c r="B416" s="81"/>
      <c r="C416" s="81"/>
      <c r="D416" s="82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1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1"/>
      <c r="B417" s="81"/>
      <c r="C417" s="81"/>
      <c r="D417" s="82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1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1"/>
      <c r="B418" s="81"/>
      <c r="C418" s="81"/>
      <c r="D418" s="82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1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1"/>
      <c r="B419" s="81"/>
      <c r="C419" s="81"/>
      <c r="D419" s="82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1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1"/>
      <c r="B420" s="81"/>
      <c r="C420" s="81"/>
      <c r="D420" s="82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1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1"/>
      <c r="B421" s="81"/>
      <c r="C421" s="81"/>
      <c r="D421" s="82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1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1"/>
      <c r="B422" s="81"/>
      <c r="C422" s="81"/>
      <c r="D422" s="82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1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1"/>
      <c r="B423" s="81"/>
      <c r="C423" s="81"/>
      <c r="D423" s="82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1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1"/>
      <c r="B424" s="81"/>
      <c r="C424" s="81"/>
      <c r="D424" s="82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1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1"/>
      <c r="B425" s="81"/>
      <c r="C425" s="81"/>
      <c r="D425" s="82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1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1"/>
      <c r="B426" s="81"/>
      <c r="C426" s="81"/>
      <c r="D426" s="82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1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1"/>
      <c r="B427" s="81"/>
      <c r="C427" s="81"/>
      <c r="D427" s="82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1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1"/>
      <c r="B428" s="81"/>
      <c r="C428" s="81"/>
      <c r="D428" s="82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1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1"/>
      <c r="B429" s="81"/>
      <c r="C429" s="81"/>
      <c r="D429" s="82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1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1"/>
      <c r="B430" s="81"/>
      <c r="C430" s="81"/>
      <c r="D430" s="82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1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1"/>
      <c r="B431" s="81"/>
      <c r="C431" s="81"/>
      <c r="D431" s="82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1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1"/>
      <c r="B432" s="81"/>
      <c r="C432" s="81"/>
      <c r="D432" s="82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1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1"/>
      <c r="B433" s="81"/>
      <c r="C433" s="81"/>
      <c r="D433" s="82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1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1"/>
      <c r="B434" s="81"/>
      <c r="C434" s="81"/>
      <c r="D434" s="82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1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1"/>
      <c r="B435" s="81"/>
      <c r="C435" s="81"/>
      <c r="D435" s="82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1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1"/>
      <c r="B436" s="81"/>
      <c r="C436" s="81"/>
      <c r="D436" s="82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1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1"/>
      <c r="B437" s="81"/>
      <c r="C437" s="81"/>
      <c r="D437" s="82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1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1"/>
      <c r="B438" s="81"/>
      <c r="C438" s="81"/>
      <c r="D438" s="82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1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1"/>
      <c r="B439" s="81"/>
      <c r="C439" s="81"/>
      <c r="D439" s="82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1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1"/>
      <c r="B440" s="81"/>
      <c r="C440" s="81"/>
      <c r="D440" s="82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1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1"/>
      <c r="B441" s="81"/>
      <c r="C441" s="81"/>
      <c r="D441" s="82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1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1"/>
      <c r="B442" s="81"/>
      <c r="C442" s="81"/>
      <c r="D442" s="82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1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1"/>
      <c r="B443" s="81"/>
      <c r="C443" s="81"/>
      <c r="D443" s="82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1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1"/>
      <c r="B444" s="81"/>
      <c r="C444" s="81"/>
      <c r="D444" s="82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1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1"/>
      <c r="B445" s="81"/>
      <c r="C445" s="81"/>
      <c r="D445" s="82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1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1"/>
      <c r="B446" s="81"/>
      <c r="C446" s="81"/>
      <c r="D446" s="82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1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1"/>
      <c r="B447" s="81"/>
      <c r="C447" s="81"/>
      <c r="D447" s="82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1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1"/>
      <c r="B448" s="81"/>
      <c r="C448" s="81"/>
      <c r="D448" s="82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1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1"/>
      <c r="B449" s="81"/>
      <c r="C449" s="81"/>
      <c r="D449" s="82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1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1"/>
      <c r="B450" s="81"/>
      <c r="C450" s="81"/>
      <c r="D450" s="82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1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1"/>
      <c r="B451" s="81"/>
      <c r="C451" s="81"/>
      <c r="D451" s="82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1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1"/>
      <c r="B452" s="81"/>
      <c r="C452" s="81"/>
      <c r="D452" s="82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1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1"/>
      <c r="B453" s="81"/>
      <c r="C453" s="81"/>
      <c r="D453" s="82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1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1"/>
      <c r="B454" s="81"/>
      <c r="C454" s="81"/>
      <c r="D454" s="82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1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1"/>
      <c r="B455" s="81"/>
      <c r="C455" s="81"/>
      <c r="D455" s="82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1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1"/>
      <c r="B456" s="81"/>
      <c r="C456" s="81"/>
      <c r="D456" s="82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1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1"/>
      <c r="B457" s="81"/>
      <c r="C457" s="81"/>
      <c r="D457" s="82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1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1"/>
      <c r="B458" s="81"/>
      <c r="C458" s="81"/>
      <c r="D458" s="82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1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1"/>
      <c r="B459" s="81"/>
      <c r="C459" s="81"/>
      <c r="D459" s="82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1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1"/>
      <c r="B460" s="81"/>
      <c r="C460" s="81"/>
      <c r="D460" s="82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1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1"/>
      <c r="B461" s="81"/>
      <c r="C461" s="81"/>
      <c r="D461" s="82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1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1"/>
      <c r="B462" s="81"/>
      <c r="C462" s="81"/>
      <c r="D462" s="82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1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1"/>
      <c r="B463" s="81"/>
      <c r="C463" s="81"/>
      <c r="D463" s="82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1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1"/>
      <c r="B464" s="81"/>
      <c r="C464" s="81"/>
      <c r="D464" s="82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1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1"/>
      <c r="B465" s="81"/>
      <c r="C465" s="81"/>
      <c r="D465" s="82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1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1"/>
      <c r="B466" s="81"/>
      <c r="C466" s="81"/>
      <c r="D466" s="82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1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1"/>
      <c r="B467" s="81"/>
      <c r="C467" s="81"/>
      <c r="D467" s="82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1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1"/>
      <c r="B468" s="81"/>
      <c r="C468" s="81"/>
      <c r="D468" s="82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1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1"/>
      <c r="B469" s="81"/>
      <c r="C469" s="81"/>
      <c r="D469" s="82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1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1"/>
      <c r="B470" s="81"/>
      <c r="C470" s="81"/>
      <c r="D470" s="82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1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1"/>
      <c r="B471" s="81"/>
      <c r="C471" s="81"/>
      <c r="D471" s="82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1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1"/>
      <c r="B472" s="81"/>
      <c r="C472" s="81"/>
      <c r="D472" s="82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1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1"/>
      <c r="B473" s="81"/>
      <c r="C473" s="81"/>
      <c r="D473" s="82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1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1"/>
      <c r="B474" s="81"/>
      <c r="C474" s="81"/>
      <c r="D474" s="82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1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1"/>
      <c r="B475" s="81"/>
      <c r="C475" s="81"/>
      <c r="D475" s="82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1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1"/>
      <c r="B476" s="81"/>
      <c r="C476" s="81"/>
      <c r="D476" s="82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1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1"/>
      <c r="B477" s="81"/>
      <c r="C477" s="81"/>
      <c r="D477" s="82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1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1"/>
      <c r="B478" s="81"/>
      <c r="C478" s="81"/>
      <c r="D478" s="82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1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1"/>
      <c r="B479" s="81"/>
      <c r="C479" s="81"/>
      <c r="D479" s="82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1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1"/>
      <c r="B480" s="81"/>
      <c r="C480" s="81"/>
      <c r="D480" s="82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1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1"/>
      <c r="B481" s="81"/>
      <c r="C481" s="81"/>
      <c r="D481" s="82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1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1"/>
      <c r="B482" s="81"/>
      <c r="C482" s="81"/>
      <c r="D482" s="82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1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1"/>
      <c r="B483" s="81"/>
      <c r="C483" s="81"/>
      <c r="D483" s="82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1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1"/>
      <c r="B484" s="81"/>
      <c r="C484" s="81"/>
      <c r="D484" s="82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1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1"/>
      <c r="B485" s="81"/>
      <c r="C485" s="81"/>
      <c r="D485" s="82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1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1"/>
      <c r="B486" s="81"/>
      <c r="C486" s="81"/>
      <c r="D486" s="82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1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1"/>
      <c r="B487" s="81"/>
      <c r="C487" s="81"/>
      <c r="D487" s="82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1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1"/>
      <c r="B488" s="81"/>
      <c r="C488" s="81"/>
      <c r="D488" s="82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1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1"/>
      <c r="B489" s="81"/>
      <c r="C489" s="81"/>
      <c r="D489" s="82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1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1"/>
      <c r="B490" s="81"/>
      <c r="C490" s="81"/>
      <c r="D490" s="82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1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1"/>
      <c r="B491" s="81"/>
      <c r="C491" s="81"/>
      <c r="D491" s="82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1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1"/>
      <c r="B492" s="81"/>
      <c r="C492" s="81"/>
      <c r="D492" s="82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1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1"/>
      <c r="B493" s="81"/>
      <c r="C493" s="81"/>
      <c r="D493" s="82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1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1"/>
      <c r="B494" s="81"/>
      <c r="C494" s="81"/>
      <c r="D494" s="82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1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1"/>
      <c r="B495" s="81"/>
      <c r="C495" s="81"/>
      <c r="D495" s="82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1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1"/>
      <c r="B496" s="81"/>
      <c r="C496" s="81"/>
      <c r="D496" s="82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1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1"/>
      <c r="B497" s="81"/>
      <c r="C497" s="81"/>
      <c r="D497" s="82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1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1"/>
      <c r="B498" s="81"/>
      <c r="C498" s="81"/>
      <c r="D498" s="82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1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1"/>
      <c r="B499" s="81"/>
      <c r="C499" s="81"/>
      <c r="D499" s="82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1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1"/>
      <c r="B500" s="81"/>
      <c r="C500" s="81"/>
      <c r="D500" s="82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1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1"/>
      <c r="B501" s="81"/>
      <c r="C501" s="81"/>
      <c r="D501" s="82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1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1"/>
      <c r="B502" s="81"/>
      <c r="C502" s="81"/>
      <c r="D502" s="82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1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1"/>
      <c r="B503" s="81"/>
      <c r="C503" s="81"/>
      <c r="D503" s="82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1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1"/>
      <c r="B504" s="81"/>
      <c r="C504" s="81"/>
      <c r="D504" s="82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1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1"/>
      <c r="B505" s="81"/>
      <c r="C505" s="81"/>
      <c r="D505" s="82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1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1"/>
      <c r="B506" s="81"/>
      <c r="C506" s="81"/>
      <c r="D506" s="82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1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1"/>
      <c r="B507" s="81"/>
      <c r="C507" s="81"/>
      <c r="D507" s="82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1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1"/>
      <c r="B508" s="81"/>
      <c r="C508" s="81"/>
      <c r="D508" s="82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1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1"/>
      <c r="B509" s="81"/>
      <c r="C509" s="81"/>
      <c r="D509" s="82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1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1"/>
      <c r="B510" s="81"/>
      <c r="C510" s="81"/>
      <c r="D510" s="82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1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1"/>
      <c r="B511" s="81"/>
      <c r="C511" s="81"/>
      <c r="D511" s="82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1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1"/>
      <c r="B512" s="81"/>
      <c r="C512" s="81"/>
      <c r="D512" s="82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1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1"/>
      <c r="B513" s="81"/>
      <c r="C513" s="81"/>
      <c r="D513" s="82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1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1"/>
      <c r="B514" s="81"/>
      <c r="C514" s="81"/>
      <c r="D514" s="82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1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1"/>
      <c r="B515" s="81"/>
      <c r="C515" s="81"/>
      <c r="D515" s="82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1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1"/>
      <c r="B516" s="81"/>
      <c r="C516" s="81"/>
      <c r="D516" s="82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1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1"/>
      <c r="B517" s="81"/>
      <c r="C517" s="81"/>
      <c r="D517" s="82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1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1"/>
      <c r="B518" s="81"/>
      <c r="C518" s="81"/>
      <c r="D518" s="82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1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1"/>
      <c r="B519" s="81"/>
      <c r="C519" s="81"/>
      <c r="D519" s="82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1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1"/>
      <c r="B520" s="81"/>
      <c r="C520" s="81"/>
      <c r="D520" s="82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1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1"/>
      <c r="B521" s="81"/>
      <c r="C521" s="81"/>
      <c r="D521" s="82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1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1"/>
      <c r="B522" s="81"/>
      <c r="C522" s="81"/>
      <c r="D522" s="82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1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1"/>
      <c r="B523" s="81"/>
      <c r="C523" s="81"/>
      <c r="D523" s="82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1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1"/>
      <c r="B524" s="81"/>
      <c r="C524" s="81"/>
      <c r="D524" s="82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1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1"/>
      <c r="B525" s="81"/>
      <c r="C525" s="81"/>
      <c r="D525" s="82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1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1"/>
      <c r="B526" s="81"/>
      <c r="C526" s="81"/>
      <c r="D526" s="82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1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1"/>
      <c r="B527" s="81"/>
      <c r="C527" s="81"/>
      <c r="D527" s="82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1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1"/>
      <c r="B528" s="81"/>
      <c r="C528" s="81"/>
      <c r="D528" s="82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1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1"/>
      <c r="B529" s="81"/>
      <c r="C529" s="81"/>
      <c r="D529" s="82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1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1"/>
      <c r="B530" s="81"/>
      <c r="C530" s="81"/>
      <c r="D530" s="82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1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1"/>
      <c r="B531" s="81"/>
      <c r="C531" s="81"/>
      <c r="D531" s="82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1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1"/>
      <c r="B532" s="81"/>
      <c r="C532" s="81"/>
      <c r="D532" s="82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1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1"/>
      <c r="B533" s="81"/>
      <c r="C533" s="81"/>
      <c r="D533" s="82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1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1"/>
      <c r="B534" s="81"/>
      <c r="C534" s="81"/>
      <c r="D534" s="82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1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1"/>
      <c r="B535" s="81"/>
      <c r="C535" s="81"/>
      <c r="D535" s="82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1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1"/>
      <c r="B536" s="81"/>
      <c r="C536" s="81"/>
      <c r="D536" s="82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1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1"/>
      <c r="B537" s="81"/>
      <c r="C537" s="81"/>
      <c r="D537" s="82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1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1"/>
      <c r="B538" s="81"/>
      <c r="C538" s="81"/>
      <c r="D538" s="82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1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1"/>
      <c r="B539" s="81"/>
      <c r="C539" s="81"/>
      <c r="D539" s="82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1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1"/>
      <c r="B540" s="81"/>
      <c r="C540" s="81"/>
      <c r="D540" s="82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1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1"/>
      <c r="B541" s="81"/>
      <c r="C541" s="81"/>
      <c r="D541" s="82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1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1"/>
      <c r="B542" s="81"/>
      <c r="C542" s="81"/>
      <c r="D542" s="82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1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1"/>
      <c r="B543" s="81"/>
      <c r="C543" s="81"/>
      <c r="D543" s="82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1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1"/>
      <c r="B544" s="81"/>
      <c r="C544" s="81"/>
      <c r="D544" s="82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1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1"/>
      <c r="B545" s="81"/>
      <c r="C545" s="81"/>
      <c r="D545" s="82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1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1"/>
      <c r="B546" s="81"/>
      <c r="C546" s="81"/>
      <c r="D546" s="82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1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1"/>
      <c r="B547" s="81"/>
      <c r="C547" s="81"/>
      <c r="D547" s="82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1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1"/>
      <c r="B548" s="81"/>
      <c r="C548" s="81"/>
      <c r="D548" s="82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1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1"/>
      <c r="B549" s="81"/>
      <c r="C549" s="81"/>
      <c r="D549" s="82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1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1"/>
      <c r="B550" s="81"/>
      <c r="C550" s="81"/>
      <c r="D550" s="82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1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1"/>
      <c r="B551" s="81"/>
      <c r="C551" s="81"/>
      <c r="D551" s="82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1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1"/>
      <c r="B552" s="81"/>
      <c r="C552" s="81"/>
      <c r="D552" s="82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1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1"/>
      <c r="B553" s="81"/>
      <c r="C553" s="81"/>
      <c r="D553" s="82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1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1"/>
      <c r="B554" s="81"/>
      <c r="C554" s="81"/>
      <c r="D554" s="82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1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1"/>
      <c r="B555" s="81"/>
      <c r="C555" s="81"/>
      <c r="D555" s="82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1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1"/>
      <c r="B556" s="81"/>
      <c r="C556" s="81"/>
      <c r="D556" s="82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1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1"/>
      <c r="B557" s="81"/>
      <c r="C557" s="81"/>
      <c r="D557" s="82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1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1"/>
      <c r="B558" s="81"/>
      <c r="C558" s="81"/>
      <c r="D558" s="82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1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1"/>
      <c r="B559" s="81"/>
      <c r="C559" s="81"/>
      <c r="D559" s="82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1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1"/>
      <c r="B560" s="81"/>
      <c r="C560" s="81"/>
      <c r="D560" s="82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1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1"/>
      <c r="B561" s="81"/>
      <c r="C561" s="81"/>
      <c r="D561" s="82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1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1"/>
      <c r="B562" s="81"/>
      <c r="C562" s="81"/>
      <c r="D562" s="82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1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1"/>
      <c r="B563" s="81"/>
      <c r="C563" s="81"/>
      <c r="D563" s="82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1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1"/>
      <c r="B564" s="81"/>
      <c r="C564" s="81"/>
      <c r="D564" s="82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1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1"/>
      <c r="B565" s="81"/>
      <c r="C565" s="81"/>
      <c r="D565" s="82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1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1"/>
      <c r="B566" s="81"/>
      <c r="C566" s="81"/>
      <c r="D566" s="82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1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1"/>
      <c r="B567" s="81"/>
      <c r="C567" s="81"/>
      <c r="D567" s="82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1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1"/>
      <c r="B568" s="81"/>
      <c r="C568" s="81"/>
      <c r="D568" s="82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1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1"/>
      <c r="B569" s="81"/>
      <c r="C569" s="81"/>
      <c r="D569" s="82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1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1"/>
      <c r="B570" s="81"/>
      <c r="C570" s="81"/>
      <c r="D570" s="82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1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1"/>
      <c r="B571" s="81"/>
      <c r="C571" s="81"/>
      <c r="D571" s="82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1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1"/>
      <c r="B572" s="81"/>
      <c r="C572" s="81"/>
      <c r="D572" s="82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1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1"/>
      <c r="B573" s="81"/>
      <c r="C573" s="81"/>
      <c r="D573" s="82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1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1"/>
      <c r="B574" s="81"/>
      <c r="C574" s="81"/>
      <c r="D574" s="82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1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1"/>
      <c r="B575" s="81"/>
      <c r="C575" s="81"/>
      <c r="D575" s="82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1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1"/>
      <c r="B576" s="81"/>
      <c r="C576" s="81"/>
      <c r="D576" s="82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1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1"/>
      <c r="B577" s="81"/>
      <c r="C577" s="81"/>
      <c r="D577" s="82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1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1"/>
      <c r="B578" s="81"/>
      <c r="C578" s="81"/>
      <c r="D578" s="82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1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1"/>
      <c r="B579" s="81"/>
      <c r="C579" s="81"/>
      <c r="D579" s="82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1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1"/>
      <c r="B580" s="81"/>
      <c r="C580" s="81"/>
      <c r="D580" s="82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1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1"/>
      <c r="B581" s="81"/>
      <c r="C581" s="81"/>
      <c r="D581" s="82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1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1"/>
      <c r="B582" s="81"/>
      <c r="C582" s="81"/>
      <c r="D582" s="82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1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1"/>
      <c r="B583" s="81"/>
      <c r="C583" s="81"/>
      <c r="D583" s="82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1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1"/>
      <c r="B584" s="81"/>
      <c r="C584" s="81"/>
      <c r="D584" s="82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1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1"/>
      <c r="B585" s="81"/>
      <c r="C585" s="81"/>
      <c r="D585" s="82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1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1"/>
      <c r="B586" s="81"/>
      <c r="C586" s="81"/>
      <c r="D586" s="82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1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1"/>
      <c r="B587" s="81"/>
      <c r="C587" s="81"/>
      <c r="D587" s="82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1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1"/>
      <c r="B588" s="81"/>
      <c r="C588" s="81"/>
      <c r="D588" s="82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1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1"/>
      <c r="B589" s="81"/>
      <c r="C589" s="81"/>
      <c r="D589" s="82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1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1"/>
      <c r="B590" s="81"/>
      <c r="C590" s="81"/>
      <c r="D590" s="82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1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1"/>
      <c r="B591" s="81"/>
      <c r="C591" s="81"/>
      <c r="D591" s="82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1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1"/>
      <c r="B592" s="81"/>
      <c r="C592" s="81"/>
      <c r="D592" s="82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1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1"/>
      <c r="B593" s="81"/>
      <c r="C593" s="81"/>
      <c r="D593" s="82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1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1"/>
      <c r="B594" s="81"/>
      <c r="C594" s="81"/>
      <c r="D594" s="82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1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1"/>
      <c r="B595" s="81"/>
      <c r="C595" s="81"/>
      <c r="D595" s="82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1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1"/>
      <c r="B596" s="81"/>
      <c r="C596" s="81"/>
      <c r="D596" s="82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1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1"/>
      <c r="B597" s="81"/>
      <c r="C597" s="81"/>
      <c r="D597" s="82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1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1"/>
      <c r="B598" s="81"/>
      <c r="C598" s="81"/>
      <c r="D598" s="82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1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1"/>
      <c r="B599" s="81"/>
      <c r="C599" s="81"/>
      <c r="D599" s="82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1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1"/>
      <c r="B600" s="81"/>
      <c r="C600" s="81"/>
      <c r="D600" s="82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1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1"/>
      <c r="B601" s="81"/>
      <c r="C601" s="81"/>
      <c r="D601" s="82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1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1"/>
      <c r="B602" s="81"/>
      <c r="C602" s="81"/>
      <c r="D602" s="82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1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1"/>
      <c r="B603" s="81"/>
      <c r="C603" s="81"/>
      <c r="D603" s="82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1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1"/>
      <c r="B604" s="81"/>
      <c r="C604" s="81"/>
      <c r="D604" s="82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1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1"/>
      <c r="B605" s="81"/>
      <c r="C605" s="81"/>
      <c r="D605" s="82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1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1"/>
      <c r="B606" s="81"/>
      <c r="C606" s="81"/>
      <c r="D606" s="82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1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1"/>
      <c r="B607" s="81"/>
      <c r="C607" s="81"/>
      <c r="D607" s="82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1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1"/>
      <c r="B608" s="81"/>
      <c r="C608" s="81"/>
      <c r="D608" s="82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1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1"/>
      <c r="B609" s="81"/>
      <c r="C609" s="81"/>
      <c r="D609" s="82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1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1"/>
      <c r="B610" s="81"/>
      <c r="C610" s="81"/>
      <c r="D610" s="82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1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1"/>
      <c r="B611" s="81"/>
      <c r="C611" s="81"/>
      <c r="D611" s="82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1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1"/>
      <c r="B612" s="81"/>
      <c r="C612" s="81"/>
      <c r="D612" s="82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1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1"/>
      <c r="B613" s="81"/>
      <c r="C613" s="81"/>
      <c r="D613" s="82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1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1"/>
      <c r="B614" s="81"/>
      <c r="C614" s="81"/>
      <c r="D614" s="82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1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1"/>
      <c r="B615" s="81"/>
      <c r="C615" s="81"/>
      <c r="D615" s="82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1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1"/>
      <c r="B616" s="81"/>
      <c r="C616" s="81"/>
      <c r="D616" s="82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1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1"/>
      <c r="B617" s="81"/>
      <c r="C617" s="81"/>
      <c r="D617" s="82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1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1"/>
      <c r="B618" s="81"/>
      <c r="C618" s="81"/>
      <c r="D618" s="82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1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1"/>
      <c r="B619" s="81"/>
      <c r="C619" s="81"/>
      <c r="D619" s="82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1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1"/>
      <c r="B620" s="81"/>
      <c r="C620" s="81"/>
      <c r="D620" s="82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1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1"/>
      <c r="B621" s="81"/>
      <c r="C621" s="81"/>
      <c r="D621" s="82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1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1"/>
      <c r="B622" s="81"/>
      <c r="C622" s="81"/>
      <c r="D622" s="82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1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1"/>
      <c r="B623" s="81"/>
      <c r="C623" s="81"/>
      <c r="D623" s="82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1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1"/>
      <c r="B624" s="81"/>
      <c r="C624" s="81"/>
      <c r="D624" s="82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1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1"/>
      <c r="B625" s="81"/>
      <c r="C625" s="81"/>
      <c r="D625" s="82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1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1"/>
      <c r="B626" s="81"/>
      <c r="C626" s="81"/>
      <c r="D626" s="82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1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1"/>
      <c r="B627" s="81"/>
      <c r="C627" s="81"/>
      <c r="D627" s="82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1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1"/>
      <c r="B628" s="81"/>
      <c r="C628" s="81"/>
      <c r="D628" s="82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1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1"/>
      <c r="B629" s="81"/>
      <c r="C629" s="81"/>
      <c r="D629" s="82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1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1"/>
      <c r="B630" s="81"/>
      <c r="C630" s="81"/>
      <c r="D630" s="82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1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1"/>
      <c r="B631" s="81"/>
      <c r="C631" s="81"/>
      <c r="D631" s="82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1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1"/>
      <c r="B632" s="81"/>
      <c r="C632" s="81"/>
      <c r="D632" s="82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1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1"/>
      <c r="B633" s="81"/>
      <c r="C633" s="81"/>
      <c r="D633" s="82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1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1"/>
      <c r="B634" s="81"/>
      <c r="C634" s="81"/>
      <c r="D634" s="82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1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1"/>
      <c r="B635" s="81"/>
      <c r="C635" s="81"/>
      <c r="D635" s="82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1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1"/>
      <c r="B636" s="81"/>
      <c r="C636" s="81"/>
      <c r="D636" s="82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1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1"/>
      <c r="B637" s="81"/>
      <c r="C637" s="81"/>
      <c r="D637" s="82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1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1"/>
      <c r="B638" s="81"/>
      <c r="C638" s="81"/>
      <c r="D638" s="82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1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1"/>
      <c r="B639" s="81"/>
      <c r="C639" s="81"/>
      <c r="D639" s="82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1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1"/>
      <c r="B640" s="81"/>
      <c r="C640" s="81"/>
      <c r="D640" s="82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1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1"/>
      <c r="B641" s="81"/>
      <c r="C641" s="81"/>
      <c r="D641" s="82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1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1"/>
      <c r="B642" s="81"/>
      <c r="C642" s="81"/>
      <c r="D642" s="82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1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1"/>
      <c r="B643" s="81"/>
      <c r="C643" s="81"/>
      <c r="D643" s="82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1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1"/>
      <c r="B644" s="81"/>
      <c r="C644" s="81"/>
      <c r="D644" s="82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1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1"/>
      <c r="B645" s="81"/>
      <c r="C645" s="81"/>
      <c r="D645" s="82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1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1"/>
      <c r="B646" s="81"/>
      <c r="C646" s="81"/>
      <c r="D646" s="82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1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1"/>
      <c r="B647" s="81"/>
      <c r="C647" s="81"/>
      <c r="D647" s="82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1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1"/>
      <c r="B648" s="81"/>
      <c r="C648" s="81"/>
      <c r="D648" s="82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1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1"/>
      <c r="B649" s="81"/>
      <c r="C649" s="81"/>
      <c r="D649" s="82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1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1"/>
      <c r="B650" s="81"/>
      <c r="C650" s="81"/>
      <c r="D650" s="82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1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1"/>
      <c r="B651" s="81"/>
      <c r="C651" s="81"/>
      <c r="D651" s="82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1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1"/>
      <c r="B652" s="81"/>
      <c r="C652" s="81"/>
      <c r="D652" s="82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1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1"/>
      <c r="B653" s="81"/>
      <c r="C653" s="81"/>
      <c r="D653" s="82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1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1"/>
      <c r="B654" s="81"/>
      <c r="C654" s="81"/>
      <c r="D654" s="82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1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1"/>
      <c r="B655" s="81"/>
      <c r="C655" s="81"/>
      <c r="D655" s="82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1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1"/>
      <c r="B656" s="81"/>
      <c r="C656" s="81"/>
      <c r="D656" s="82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1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1"/>
      <c r="B657" s="81"/>
      <c r="C657" s="81"/>
      <c r="D657" s="82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1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1"/>
      <c r="B658" s="81"/>
      <c r="C658" s="81"/>
      <c r="D658" s="82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1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1"/>
      <c r="B659" s="81"/>
      <c r="C659" s="81"/>
      <c r="D659" s="82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1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1"/>
      <c r="B660" s="81"/>
      <c r="C660" s="81"/>
      <c r="D660" s="82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1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1"/>
      <c r="B661" s="81"/>
      <c r="C661" s="81"/>
      <c r="D661" s="82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1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1"/>
      <c r="B662" s="81"/>
      <c r="C662" s="81"/>
      <c r="D662" s="82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1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1"/>
      <c r="B663" s="81"/>
      <c r="C663" s="81"/>
      <c r="D663" s="82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1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1"/>
      <c r="B664" s="81"/>
      <c r="C664" s="81"/>
      <c r="D664" s="82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1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1"/>
      <c r="B665" s="81"/>
      <c r="C665" s="81"/>
      <c r="D665" s="82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1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1"/>
      <c r="B666" s="81"/>
      <c r="C666" s="81"/>
      <c r="D666" s="82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1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1"/>
      <c r="B667" s="81"/>
      <c r="C667" s="81"/>
      <c r="D667" s="82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1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1"/>
      <c r="B668" s="81"/>
      <c r="C668" s="81"/>
      <c r="D668" s="82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1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1"/>
      <c r="B669" s="81"/>
      <c r="C669" s="81"/>
      <c r="D669" s="82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1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1"/>
      <c r="B670" s="81"/>
      <c r="C670" s="81"/>
      <c r="D670" s="82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1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1"/>
      <c r="B671" s="81"/>
      <c r="C671" s="81"/>
      <c r="D671" s="82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1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1"/>
      <c r="B672" s="81"/>
      <c r="C672" s="81"/>
      <c r="D672" s="82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1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1"/>
      <c r="B673" s="81"/>
      <c r="C673" s="81"/>
      <c r="D673" s="82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1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1"/>
      <c r="B674" s="81"/>
      <c r="C674" s="81"/>
      <c r="D674" s="82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1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1"/>
      <c r="B675" s="81"/>
      <c r="C675" s="81"/>
      <c r="D675" s="82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1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1"/>
      <c r="B676" s="81"/>
      <c r="C676" s="81"/>
      <c r="D676" s="82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1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1"/>
      <c r="B677" s="81"/>
      <c r="C677" s="81"/>
      <c r="D677" s="82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1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1"/>
      <c r="B678" s="81"/>
      <c r="C678" s="81"/>
      <c r="D678" s="82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1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1"/>
      <c r="B679" s="81"/>
      <c r="C679" s="81"/>
      <c r="D679" s="82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1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1"/>
      <c r="B680" s="81"/>
      <c r="C680" s="81"/>
      <c r="D680" s="82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1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1"/>
      <c r="B681" s="81"/>
      <c r="C681" s="81"/>
      <c r="D681" s="82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1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1"/>
      <c r="B682" s="81"/>
      <c r="C682" s="81"/>
      <c r="D682" s="82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1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1"/>
      <c r="B683" s="81"/>
      <c r="C683" s="81"/>
      <c r="D683" s="82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1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1"/>
      <c r="B684" s="81"/>
      <c r="C684" s="81"/>
      <c r="D684" s="82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1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1"/>
      <c r="B685" s="81"/>
      <c r="C685" s="81"/>
      <c r="D685" s="82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1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1"/>
      <c r="B686" s="81"/>
      <c r="C686" s="81"/>
      <c r="D686" s="82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1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1"/>
      <c r="B687" s="81"/>
      <c r="C687" s="81"/>
      <c r="D687" s="82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1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1"/>
      <c r="B688" s="81"/>
      <c r="C688" s="81"/>
      <c r="D688" s="82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1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1"/>
      <c r="B689" s="81"/>
      <c r="C689" s="81"/>
      <c r="D689" s="82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1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1"/>
      <c r="B690" s="81"/>
      <c r="C690" s="81"/>
      <c r="D690" s="82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1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1"/>
      <c r="B691" s="81"/>
      <c r="C691" s="81"/>
      <c r="D691" s="82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1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1"/>
      <c r="B692" s="81"/>
      <c r="C692" s="81"/>
      <c r="D692" s="82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1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1"/>
      <c r="B693" s="81"/>
      <c r="C693" s="81"/>
      <c r="D693" s="82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1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1"/>
      <c r="B694" s="81"/>
      <c r="C694" s="81"/>
      <c r="D694" s="82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1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1"/>
      <c r="B695" s="81"/>
      <c r="C695" s="81"/>
      <c r="D695" s="82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1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1"/>
      <c r="B696" s="81"/>
      <c r="C696" s="81"/>
      <c r="D696" s="82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1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1"/>
      <c r="B697" s="81"/>
      <c r="C697" s="81"/>
      <c r="D697" s="82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1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1"/>
      <c r="B698" s="81"/>
      <c r="C698" s="81"/>
      <c r="D698" s="82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1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1"/>
      <c r="B699" s="81"/>
      <c r="C699" s="81"/>
      <c r="D699" s="82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1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1"/>
      <c r="B700" s="81"/>
      <c r="C700" s="81"/>
      <c r="D700" s="82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1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1"/>
      <c r="B701" s="81"/>
      <c r="C701" s="81"/>
      <c r="D701" s="82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1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1"/>
      <c r="B702" s="81"/>
      <c r="C702" s="81"/>
      <c r="D702" s="82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1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1"/>
      <c r="B703" s="81"/>
      <c r="C703" s="81"/>
      <c r="D703" s="82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1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1"/>
      <c r="B704" s="81"/>
      <c r="C704" s="81"/>
      <c r="D704" s="82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1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1"/>
      <c r="B705" s="81"/>
      <c r="C705" s="81"/>
      <c r="D705" s="82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1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1"/>
      <c r="B706" s="81"/>
      <c r="C706" s="81"/>
      <c r="D706" s="82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1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1"/>
      <c r="B707" s="81"/>
      <c r="C707" s="81"/>
      <c r="D707" s="82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1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1"/>
      <c r="B708" s="81"/>
      <c r="C708" s="81"/>
      <c r="D708" s="82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1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1"/>
      <c r="B709" s="81"/>
      <c r="C709" s="81"/>
      <c r="D709" s="82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1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1"/>
      <c r="B710" s="81"/>
      <c r="C710" s="81"/>
      <c r="D710" s="82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1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1"/>
      <c r="B711" s="81"/>
      <c r="C711" s="81"/>
      <c r="D711" s="82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1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1"/>
      <c r="B712" s="81"/>
      <c r="C712" s="81"/>
      <c r="D712" s="82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1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1"/>
      <c r="B713" s="81"/>
      <c r="C713" s="81"/>
      <c r="D713" s="82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1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1"/>
      <c r="B714" s="81"/>
      <c r="C714" s="81"/>
      <c r="D714" s="82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1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1"/>
      <c r="B715" s="81"/>
      <c r="C715" s="81"/>
      <c r="D715" s="82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1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1"/>
      <c r="B716" s="81"/>
      <c r="C716" s="81"/>
      <c r="D716" s="82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1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1"/>
      <c r="B717" s="81"/>
      <c r="C717" s="81"/>
      <c r="D717" s="82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1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1"/>
      <c r="B718" s="81"/>
      <c r="C718" s="81"/>
      <c r="D718" s="82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1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1"/>
      <c r="B719" s="81"/>
      <c r="C719" s="81"/>
      <c r="D719" s="82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1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1"/>
      <c r="B720" s="81"/>
      <c r="C720" s="81"/>
      <c r="D720" s="82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1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1"/>
      <c r="B721" s="81"/>
      <c r="C721" s="81"/>
      <c r="D721" s="82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1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1"/>
      <c r="B722" s="81"/>
      <c r="C722" s="81"/>
      <c r="D722" s="82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1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1"/>
      <c r="B723" s="81"/>
      <c r="C723" s="81"/>
      <c r="D723" s="82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1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1"/>
      <c r="B724" s="81"/>
      <c r="C724" s="81"/>
      <c r="D724" s="82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1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1"/>
      <c r="B725" s="81"/>
      <c r="C725" s="81"/>
      <c r="D725" s="82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1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1"/>
      <c r="B726" s="81"/>
      <c r="C726" s="81"/>
      <c r="D726" s="82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1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1"/>
      <c r="B727" s="81"/>
      <c r="C727" s="81"/>
      <c r="D727" s="82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1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1"/>
      <c r="B728" s="81"/>
      <c r="C728" s="81"/>
      <c r="D728" s="82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1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1"/>
      <c r="B729" s="81"/>
      <c r="C729" s="81"/>
      <c r="D729" s="82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1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1"/>
      <c r="B730" s="81"/>
      <c r="C730" s="81"/>
      <c r="D730" s="82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1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1"/>
      <c r="B731" s="81"/>
      <c r="C731" s="81"/>
      <c r="D731" s="82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1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1"/>
      <c r="B732" s="81"/>
      <c r="C732" s="81"/>
      <c r="D732" s="82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1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1"/>
      <c r="B733" s="81"/>
      <c r="C733" s="81"/>
      <c r="D733" s="82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1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1"/>
      <c r="B734" s="81"/>
      <c r="C734" s="81"/>
      <c r="D734" s="82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1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1"/>
      <c r="B735" s="81"/>
      <c r="C735" s="81"/>
      <c r="D735" s="82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1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1"/>
      <c r="B736" s="81"/>
      <c r="C736" s="81"/>
      <c r="D736" s="82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1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1"/>
      <c r="B737" s="81"/>
      <c r="C737" s="81"/>
      <c r="D737" s="82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1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1"/>
      <c r="B738" s="81"/>
      <c r="C738" s="81"/>
      <c r="D738" s="82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1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1"/>
      <c r="B739" s="81"/>
      <c r="C739" s="81"/>
      <c r="D739" s="82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1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1"/>
      <c r="B740" s="81"/>
      <c r="C740" s="81"/>
      <c r="D740" s="82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1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1"/>
      <c r="B741" s="81"/>
      <c r="C741" s="81"/>
      <c r="D741" s="82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1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1"/>
      <c r="B742" s="81"/>
      <c r="C742" s="81"/>
      <c r="D742" s="82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1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1"/>
      <c r="B743" s="81"/>
      <c r="C743" s="81"/>
      <c r="D743" s="82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1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1"/>
      <c r="B744" s="81"/>
      <c r="C744" s="81"/>
      <c r="D744" s="82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1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1"/>
      <c r="B745" s="81"/>
      <c r="C745" s="81"/>
      <c r="D745" s="82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1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1"/>
      <c r="B746" s="81"/>
      <c r="C746" s="81"/>
      <c r="D746" s="82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1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1"/>
      <c r="B747" s="81"/>
      <c r="C747" s="81"/>
      <c r="D747" s="82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1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1"/>
      <c r="B748" s="81"/>
      <c r="C748" s="81"/>
      <c r="D748" s="82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1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1"/>
      <c r="B749" s="81"/>
      <c r="C749" s="81"/>
      <c r="D749" s="82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1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1"/>
      <c r="B750" s="81"/>
      <c r="C750" s="81"/>
      <c r="D750" s="82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1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1"/>
      <c r="B751" s="81"/>
      <c r="C751" s="81"/>
      <c r="D751" s="82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1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1"/>
      <c r="B752" s="81"/>
      <c r="C752" s="81"/>
      <c r="D752" s="82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1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1"/>
      <c r="B753" s="81"/>
      <c r="C753" s="81"/>
      <c r="D753" s="82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1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1"/>
      <c r="B754" s="81"/>
      <c r="C754" s="81"/>
      <c r="D754" s="82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1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1"/>
      <c r="B755" s="81"/>
      <c r="C755" s="81"/>
      <c r="D755" s="82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1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1"/>
      <c r="B756" s="81"/>
      <c r="C756" s="81"/>
      <c r="D756" s="82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1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1"/>
      <c r="B757" s="81"/>
      <c r="C757" s="81"/>
      <c r="D757" s="82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1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1"/>
      <c r="B758" s="81"/>
      <c r="C758" s="81"/>
      <c r="D758" s="82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1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1"/>
      <c r="B759" s="81"/>
      <c r="C759" s="81"/>
      <c r="D759" s="82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1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1"/>
      <c r="B760" s="81"/>
      <c r="C760" s="81"/>
      <c r="D760" s="82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1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1"/>
      <c r="B761" s="81"/>
      <c r="C761" s="81"/>
      <c r="D761" s="82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1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1"/>
      <c r="B762" s="81"/>
      <c r="C762" s="81"/>
      <c r="D762" s="82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1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1"/>
      <c r="B763" s="81"/>
      <c r="C763" s="81"/>
      <c r="D763" s="82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1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1"/>
      <c r="B764" s="81"/>
      <c r="C764" s="81"/>
      <c r="D764" s="82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1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1"/>
      <c r="B765" s="81"/>
      <c r="C765" s="81"/>
      <c r="D765" s="82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1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1"/>
      <c r="B766" s="81"/>
      <c r="C766" s="81"/>
      <c r="D766" s="82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1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1"/>
      <c r="B767" s="81"/>
      <c r="C767" s="81"/>
      <c r="D767" s="82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1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1"/>
      <c r="B768" s="81"/>
      <c r="C768" s="81"/>
      <c r="D768" s="82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1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1"/>
      <c r="B769" s="81"/>
      <c r="C769" s="81"/>
      <c r="D769" s="82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1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1"/>
      <c r="B770" s="81"/>
      <c r="C770" s="81"/>
      <c r="D770" s="82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1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1"/>
      <c r="B771" s="81"/>
      <c r="C771" s="81"/>
      <c r="D771" s="82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1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1"/>
      <c r="B772" s="81"/>
      <c r="C772" s="81"/>
      <c r="D772" s="82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1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1"/>
      <c r="B773" s="81"/>
      <c r="C773" s="81"/>
      <c r="D773" s="82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1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1"/>
      <c r="B774" s="81"/>
      <c r="C774" s="81"/>
      <c r="D774" s="82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1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1"/>
      <c r="B775" s="81"/>
      <c r="C775" s="81"/>
      <c r="D775" s="82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1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1"/>
      <c r="B776" s="81"/>
      <c r="C776" s="81"/>
      <c r="D776" s="82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1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1"/>
      <c r="B777" s="81"/>
      <c r="C777" s="81"/>
      <c r="D777" s="82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1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1"/>
      <c r="B778" s="81"/>
      <c r="C778" s="81"/>
      <c r="D778" s="82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1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1"/>
      <c r="B779" s="81"/>
      <c r="C779" s="81"/>
      <c r="D779" s="82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1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1"/>
      <c r="B780" s="81"/>
      <c r="C780" s="81"/>
      <c r="D780" s="82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1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1"/>
      <c r="B781" s="81"/>
      <c r="C781" s="81"/>
      <c r="D781" s="82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1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1"/>
      <c r="B782" s="81"/>
      <c r="C782" s="81"/>
      <c r="D782" s="82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1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1"/>
      <c r="B783" s="81"/>
      <c r="C783" s="81"/>
      <c r="D783" s="82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1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1"/>
      <c r="B784" s="81"/>
      <c r="C784" s="81"/>
      <c r="D784" s="82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1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1"/>
      <c r="B785" s="81"/>
      <c r="C785" s="81"/>
      <c r="D785" s="82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1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1"/>
      <c r="B786" s="81"/>
      <c r="C786" s="81"/>
      <c r="D786" s="82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1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1"/>
      <c r="B787" s="81"/>
      <c r="C787" s="81"/>
      <c r="D787" s="82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1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1"/>
      <c r="B788" s="81"/>
      <c r="C788" s="81"/>
      <c r="D788" s="82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1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1"/>
      <c r="B789" s="81"/>
      <c r="C789" s="81"/>
      <c r="D789" s="82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1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1"/>
      <c r="B790" s="81"/>
      <c r="C790" s="81"/>
      <c r="D790" s="82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1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1"/>
      <c r="B791" s="81"/>
      <c r="C791" s="81"/>
      <c r="D791" s="82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1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1"/>
      <c r="B792" s="81"/>
      <c r="C792" s="81"/>
      <c r="D792" s="82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1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1"/>
      <c r="B793" s="81"/>
      <c r="C793" s="81"/>
      <c r="D793" s="82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1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1"/>
      <c r="B794" s="81"/>
      <c r="C794" s="81"/>
      <c r="D794" s="82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1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1"/>
      <c r="B795" s="81"/>
      <c r="C795" s="81"/>
      <c r="D795" s="82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1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1"/>
      <c r="B796" s="81"/>
      <c r="C796" s="81"/>
      <c r="D796" s="82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1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1"/>
      <c r="B797" s="81"/>
      <c r="C797" s="81"/>
      <c r="D797" s="82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1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1"/>
      <c r="B798" s="81"/>
      <c r="C798" s="81"/>
      <c r="D798" s="82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1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1"/>
      <c r="B799" s="81"/>
      <c r="C799" s="81"/>
      <c r="D799" s="82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1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1"/>
      <c r="B800" s="81"/>
      <c r="C800" s="81"/>
      <c r="D800" s="82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1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1"/>
      <c r="B801" s="81"/>
      <c r="C801" s="81"/>
      <c r="D801" s="82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1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1"/>
      <c r="B802" s="81"/>
      <c r="C802" s="81"/>
      <c r="D802" s="82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1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1"/>
      <c r="B803" s="81"/>
      <c r="C803" s="81"/>
      <c r="D803" s="82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1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1"/>
      <c r="B804" s="81"/>
      <c r="C804" s="81"/>
      <c r="D804" s="82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1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1"/>
      <c r="B805" s="81"/>
      <c r="C805" s="81"/>
      <c r="D805" s="82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1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1"/>
      <c r="B806" s="81"/>
      <c r="C806" s="81"/>
      <c r="D806" s="82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1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1"/>
      <c r="B807" s="81"/>
      <c r="C807" s="81"/>
      <c r="D807" s="82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1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1"/>
      <c r="B808" s="81"/>
      <c r="C808" s="81"/>
      <c r="D808" s="82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1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1"/>
      <c r="B809" s="81"/>
      <c r="C809" s="81"/>
      <c r="D809" s="82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1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1"/>
      <c r="B810" s="81"/>
      <c r="C810" s="81"/>
      <c r="D810" s="82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1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1"/>
      <c r="B811" s="81"/>
      <c r="C811" s="81"/>
      <c r="D811" s="82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1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1"/>
      <c r="B812" s="81"/>
      <c r="C812" s="81"/>
      <c r="D812" s="82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1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1"/>
      <c r="B813" s="81"/>
      <c r="C813" s="81"/>
      <c r="D813" s="82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1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1"/>
      <c r="B814" s="81"/>
      <c r="C814" s="81"/>
      <c r="D814" s="82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1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1"/>
      <c r="B815" s="81"/>
      <c r="C815" s="81"/>
      <c r="D815" s="82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1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1"/>
      <c r="B816" s="81"/>
      <c r="C816" s="81"/>
      <c r="D816" s="82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1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1"/>
      <c r="B817" s="81"/>
      <c r="C817" s="81"/>
      <c r="D817" s="82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1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1"/>
      <c r="B818" s="81"/>
      <c r="C818" s="81"/>
      <c r="D818" s="82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1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1"/>
      <c r="B819" s="81"/>
      <c r="C819" s="81"/>
      <c r="D819" s="82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1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1"/>
      <c r="B820" s="81"/>
      <c r="C820" s="81"/>
      <c r="D820" s="82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1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1"/>
      <c r="B821" s="81"/>
      <c r="C821" s="81"/>
      <c r="D821" s="82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1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1"/>
      <c r="B822" s="81"/>
      <c r="C822" s="81"/>
      <c r="D822" s="82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1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1"/>
      <c r="B823" s="81"/>
      <c r="C823" s="81"/>
      <c r="D823" s="82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1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1"/>
      <c r="B824" s="81"/>
      <c r="C824" s="81"/>
      <c r="D824" s="82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1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1"/>
      <c r="B825" s="81"/>
      <c r="C825" s="81"/>
      <c r="D825" s="82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1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1"/>
      <c r="B826" s="81"/>
      <c r="C826" s="81"/>
      <c r="D826" s="82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1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1"/>
      <c r="B827" s="81"/>
      <c r="C827" s="81"/>
      <c r="D827" s="82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1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1"/>
      <c r="B828" s="81"/>
      <c r="C828" s="81"/>
      <c r="D828" s="82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1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1"/>
      <c r="B829" s="81"/>
      <c r="C829" s="81"/>
      <c r="D829" s="82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1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1"/>
      <c r="B830" s="81"/>
      <c r="C830" s="81"/>
      <c r="D830" s="82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1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1"/>
      <c r="B831" s="81"/>
      <c r="C831" s="81"/>
      <c r="D831" s="82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1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1"/>
      <c r="B832" s="81"/>
      <c r="C832" s="81"/>
      <c r="D832" s="82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1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1"/>
      <c r="B833" s="81"/>
      <c r="C833" s="81"/>
      <c r="D833" s="82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1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1"/>
      <c r="B834" s="81"/>
      <c r="C834" s="81"/>
      <c r="D834" s="82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1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1"/>
      <c r="B835" s="81"/>
      <c r="C835" s="81"/>
      <c r="D835" s="82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1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1"/>
      <c r="B836" s="81"/>
      <c r="C836" s="81"/>
      <c r="D836" s="82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1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1"/>
      <c r="B837" s="81"/>
      <c r="C837" s="81"/>
      <c r="D837" s="82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1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1"/>
      <c r="B838" s="81"/>
      <c r="C838" s="81"/>
      <c r="D838" s="82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1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1"/>
      <c r="B839" s="81"/>
      <c r="C839" s="81"/>
      <c r="D839" s="82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1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1"/>
      <c r="B840" s="81"/>
      <c r="C840" s="81"/>
      <c r="D840" s="82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1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1"/>
      <c r="B841" s="81"/>
      <c r="C841" s="81"/>
      <c r="D841" s="82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1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1"/>
      <c r="B842" s="81"/>
      <c r="C842" s="81"/>
      <c r="D842" s="82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1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1"/>
      <c r="B843" s="81"/>
      <c r="C843" s="81"/>
      <c r="D843" s="82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1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1"/>
      <c r="B844" s="81"/>
      <c r="C844" s="81"/>
      <c r="D844" s="82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1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1"/>
      <c r="B845" s="81"/>
      <c r="C845" s="81"/>
      <c r="D845" s="82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1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1"/>
      <c r="B846" s="81"/>
      <c r="C846" s="81"/>
      <c r="D846" s="82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1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1"/>
      <c r="B847" s="81"/>
      <c r="C847" s="81"/>
      <c r="D847" s="82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1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1"/>
      <c r="B848" s="81"/>
      <c r="C848" s="81"/>
      <c r="D848" s="82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1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1"/>
      <c r="B849" s="81"/>
      <c r="C849" s="81"/>
      <c r="D849" s="82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1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1"/>
      <c r="B850" s="81"/>
      <c r="C850" s="81"/>
      <c r="D850" s="82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1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1"/>
      <c r="B851" s="81"/>
      <c r="C851" s="81"/>
      <c r="D851" s="82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1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1"/>
      <c r="B852" s="81"/>
      <c r="C852" s="81"/>
      <c r="D852" s="82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1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1"/>
      <c r="B853" s="81"/>
      <c r="C853" s="81"/>
      <c r="D853" s="82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1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1"/>
      <c r="B854" s="81"/>
      <c r="C854" s="81"/>
      <c r="D854" s="82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1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1"/>
      <c r="B855" s="81"/>
      <c r="C855" s="81"/>
      <c r="D855" s="82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1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1"/>
      <c r="B856" s="81"/>
      <c r="C856" s="81"/>
      <c r="D856" s="82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1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1"/>
      <c r="B857" s="81"/>
      <c r="C857" s="81"/>
      <c r="D857" s="82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1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1"/>
      <c r="B858" s="81"/>
      <c r="C858" s="81"/>
      <c r="D858" s="82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1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1"/>
      <c r="B859" s="81"/>
      <c r="C859" s="81"/>
      <c r="D859" s="82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1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1"/>
      <c r="B860" s="81"/>
      <c r="C860" s="81"/>
      <c r="D860" s="82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1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1"/>
      <c r="B861" s="81"/>
      <c r="C861" s="81"/>
      <c r="D861" s="82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1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1"/>
      <c r="B862" s="81"/>
      <c r="C862" s="81"/>
      <c r="D862" s="82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1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1"/>
      <c r="B863" s="81"/>
      <c r="C863" s="81"/>
      <c r="D863" s="82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1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1"/>
      <c r="B864" s="81"/>
      <c r="C864" s="81"/>
      <c r="D864" s="82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1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1"/>
      <c r="B865" s="81"/>
      <c r="C865" s="81"/>
      <c r="D865" s="82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1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1"/>
      <c r="B866" s="81"/>
      <c r="C866" s="81"/>
      <c r="D866" s="82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1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1"/>
      <c r="B867" s="81"/>
      <c r="C867" s="81"/>
      <c r="D867" s="82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1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1"/>
      <c r="B868" s="81"/>
      <c r="C868" s="81"/>
      <c r="D868" s="82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1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1"/>
      <c r="B869" s="81"/>
      <c r="C869" s="81"/>
      <c r="D869" s="82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1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1"/>
      <c r="B870" s="81"/>
      <c r="C870" s="81"/>
      <c r="D870" s="82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1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1"/>
      <c r="B871" s="81"/>
      <c r="C871" s="81"/>
      <c r="D871" s="82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1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1"/>
      <c r="B872" s="81"/>
      <c r="C872" s="81"/>
      <c r="D872" s="82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1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1"/>
      <c r="B873" s="81"/>
      <c r="C873" s="81"/>
      <c r="D873" s="82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1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1"/>
      <c r="B874" s="81"/>
      <c r="C874" s="81"/>
      <c r="D874" s="82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1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1"/>
      <c r="B875" s="81"/>
      <c r="C875" s="81"/>
      <c r="D875" s="82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1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1"/>
      <c r="B876" s="81"/>
      <c r="C876" s="81"/>
      <c r="D876" s="82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1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1"/>
      <c r="B877" s="81"/>
      <c r="C877" s="81"/>
      <c r="D877" s="82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1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1"/>
      <c r="B878" s="81"/>
      <c r="C878" s="81"/>
      <c r="D878" s="82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1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1"/>
      <c r="B879" s="81"/>
      <c r="C879" s="81"/>
      <c r="D879" s="82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1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1"/>
      <c r="B880" s="81"/>
      <c r="C880" s="81"/>
      <c r="D880" s="82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1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1"/>
      <c r="B881" s="81"/>
      <c r="C881" s="81"/>
      <c r="D881" s="82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1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1"/>
      <c r="B882" s="81"/>
      <c r="C882" s="81"/>
      <c r="D882" s="82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1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1"/>
      <c r="B883" s="81"/>
      <c r="C883" s="81"/>
      <c r="D883" s="82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1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1"/>
      <c r="B884" s="81"/>
      <c r="C884" s="81"/>
      <c r="D884" s="82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1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1"/>
      <c r="B885" s="81"/>
      <c r="C885" s="81"/>
      <c r="D885" s="82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1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1"/>
      <c r="B886" s="81"/>
      <c r="C886" s="81"/>
      <c r="D886" s="82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1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1"/>
      <c r="B887" s="81"/>
      <c r="C887" s="81"/>
      <c r="D887" s="82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1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1"/>
      <c r="B888" s="81"/>
      <c r="C888" s="81"/>
      <c r="D888" s="82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1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1"/>
      <c r="B889" s="81"/>
      <c r="C889" s="81"/>
      <c r="D889" s="82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1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1"/>
      <c r="B890" s="81"/>
      <c r="C890" s="81"/>
      <c r="D890" s="82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1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1"/>
      <c r="B891" s="81"/>
      <c r="C891" s="81"/>
      <c r="D891" s="82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1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1"/>
      <c r="B892" s="81"/>
      <c r="C892" s="81"/>
      <c r="D892" s="82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1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1"/>
      <c r="B893" s="81"/>
      <c r="C893" s="81"/>
      <c r="D893" s="82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1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1"/>
      <c r="B894" s="81"/>
      <c r="C894" s="81"/>
      <c r="D894" s="82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1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1"/>
      <c r="B895" s="81"/>
      <c r="C895" s="81"/>
      <c r="D895" s="82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1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1"/>
      <c r="B896" s="81"/>
      <c r="C896" s="81"/>
      <c r="D896" s="82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1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1"/>
      <c r="B897" s="81"/>
      <c r="C897" s="81"/>
      <c r="D897" s="82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1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1"/>
      <c r="B898" s="81"/>
      <c r="C898" s="81"/>
      <c r="D898" s="82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1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1"/>
      <c r="B899" s="81"/>
      <c r="C899" s="81"/>
      <c r="D899" s="82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1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1"/>
      <c r="B900" s="81"/>
      <c r="C900" s="81"/>
      <c r="D900" s="82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1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1"/>
      <c r="B901" s="81"/>
      <c r="C901" s="81"/>
      <c r="D901" s="82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1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1"/>
      <c r="B902" s="81"/>
      <c r="C902" s="81"/>
      <c r="D902" s="82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1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1"/>
      <c r="B903" s="81"/>
      <c r="C903" s="81"/>
      <c r="D903" s="82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1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1"/>
      <c r="B904" s="81"/>
      <c r="C904" s="81"/>
      <c r="D904" s="82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1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1"/>
      <c r="B905" s="81"/>
      <c r="C905" s="81"/>
      <c r="D905" s="82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1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1"/>
      <c r="B906" s="81"/>
      <c r="C906" s="81"/>
      <c r="D906" s="82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1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1"/>
      <c r="B907" s="81"/>
      <c r="C907" s="81"/>
      <c r="D907" s="82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1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1"/>
      <c r="B908" s="81"/>
      <c r="C908" s="81"/>
      <c r="D908" s="82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1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1"/>
      <c r="B909" s="81"/>
      <c r="C909" s="81"/>
      <c r="D909" s="82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1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1"/>
      <c r="B910" s="81"/>
      <c r="C910" s="81"/>
      <c r="D910" s="82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1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1"/>
      <c r="B911" s="81"/>
      <c r="C911" s="81"/>
      <c r="D911" s="82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1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1"/>
      <c r="B912" s="81"/>
      <c r="C912" s="81"/>
      <c r="D912" s="82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1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1"/>
      <c r="B913" s="81"/>
      <c r="C913" s="81"/>
      <c r="D913" s="82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1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1"/>
      <c r="B914" s="81"/>
      <c r="C914" s="81"/>
      <c r="D914" s="82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1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1"/>
      <c r="B915" s="81"/>
      <c r="C915" s="81"/>
      <c r="D915" s="82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1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1"/>
      <c r="B916" s="81"/>
      <c r="C916" s="81"/>
      <c r="D916" s="82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1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1"/>
      <c r="B917" s="81"/>
      <c r="C917" s="81"/>
      <c r="D917" s="82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1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1"/>
      <c r="B918" s="81"/>
      <c r="C918" s="81"/>
      <c r="D918" s="82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1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1"/>
      <c r="B919" s="81"/>
      <c r="C919" s="81"/>
      <c r="D919" s="82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1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1"/>
      <c r="B920" s="81"/>
      <c r="C920" s="81"/>
      <c r="D920" s="82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1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1"/>
      <c r="B921" s="81"/>
      <c r="C921" s="81"/>
      <c r="D921" s="82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1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1"/>
      <c r="B922" s="81"/>
      <c r="C922" s="81"/>
      <c r="D922" s="82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1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1"/>
      <c r="B923" s="81"/>
      <c r="C923" s="81"/>
      <c r="D923" s="82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1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1"/>
      <c r="B924" s="81"/>
      <c r="C924" s="81"/>
      <c r="D924" s="82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1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1"/>
      <c r="B925" s="81"/>
      <c r="C925" s="81"/>
      <c r="D925" s="82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1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1"/>
      <c r="B926" s="81"/>
      <c r="C926" s="81"/>
      <c r="D926" s="82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1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1"/>
      <c r="B927" s="81"/>
      <c r="C927" s="81"/>
      <c r="D927" s="82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1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1"/>
      <c r="B928" s="81"/>
      <c r="C928" s="81"/>
      <c r="D928" s="82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1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1"/>
      <c r="B929" s="81"/>
      <c r="C929" s="81"/>
      <c r="D929" s="82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1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1"/>
      <c r="B930" s="81"/>
      <c r="C930" s="81"/>
      <c r="D930" s="82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1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1"/>
      <c r="B931" s="81"/>
      <c r="C931" s="81"/>
      <c r="D931" s="82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1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1"/>
      <c r="B932" s="81"/>
      <c r="C932" s="81"/>
      <c r="D932" s="82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1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1"/>
      <c r="B933" s="81"/>
      <c r="C933" s="81"/>
      <c r="D933" s="82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1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1"/>
      <c r="B934" s="81"/>
      <c r="C934" s="81"/>
      <c r="D934" s="82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1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1"/>
      <c r="B935" s="81"/>
      <c r="C935" s="81"/>
      <c r="D935" s="82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1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1"/>
      <c r="B936" s="81"/>
      <c r="C936" s="81"/>
      <c r="D936" s="82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1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1"/>
      <c r="B937" s="81"/>
      <c r="C937" s="81"/>
      <c r="D937" s="82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1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1"/>
      <c r="B938" s="81"/>
      <c r="C938" s="81"/>
      <c r="D938" s="82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1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1"/>
      <c r="B939" s="81"/>
      <c r="C939" s="81"/>
      <c r="D939" s="82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1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1"/>
      <c r="B940" s="81"/>
      <c r="C940" s="81"/>
      <c r="D940" s="82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1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1"/>
      <c r="B941" s="81"/>
      <c r="C941" s="81"/>
      <c r="D941" s="82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1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1"/>
      <c r="B942" s="81"/>
      <c r="C942" s="81"/>
      <c r="D942" s="82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1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1"/>
      <c r="B943" s="81"/>
      <c r="C943" s="81"/>
      <c r="D943" s="82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1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1"/>
      <c r="B944" s="81"/>
      <c r="C944" s="81"/>
      <c r="D944" s="82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1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1"/>
      <c r="B945" s="81"/>
      <c r="C945" s="81"/>
      <c r="D945" s="82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1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1"/>
      <c r="B946" s="81"/>
      <c r="C946" s="81"/>
      <c r="D946" s="82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1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1"/>
      <c r="B947" s="81"/>
      <c r="C947" s="81"/>
      <c r="D947" s="82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1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1"/>
      <c r="B948" s="81"/>
      <c r="C948" s="81"/>
      <c r="D948" s="82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1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1"/>
      <c r="B949" s="81"/>
      <c r="C949" s="81"/>
      <c r="D949" s="82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1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1"/>
      <c r="B950" s="81"/>
      <c r="C950" s="81"/>
      <c r="D950" s="82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1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1"/>
      <c r="B951" s="81"/>
      <c r="C951" s="81"/>
      <c r="D951" s="82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1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1"/>
      <c r="B952" s="81"/>
      <c r="C952" s="81"/>
      <c r="D952" s="82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1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1"/>
      <c r="B953" s="81"/>
      <c r="C953" s="81"/>
      <c r="D953" s="82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1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1"/>
      <c r="B954" s="81"/>
      <c r="C954" s="81"/>
      <c r="D954" s="82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1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1"/>
      <c r="B955" s="81"/>
      <c r="C955" s="81"/>
      <c r="D955" s="82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1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1"/>
      <c r="B956" s="81"/>
      <c r="C956" s="81"/>
      <c r="D956" s="82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1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1"/>
      <c r="B957" s="81"/>
      <c r="C957" s="81"/>
      <c r="D957" s="82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1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1"/>
      <c r="B958" s="81"/>
      <c r="C958" s="81"/>
      <c r="D958" s="82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1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1"/>
      <c r="B959" s="81"/>
      <c r="C959" s="81"/>
      <c r="D959" s="82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1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1"/>
      <c r="B960" s="81"/>
      <c r="C960" s="81"/>
      <c r="D960" s="82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1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1"/>
      <c r="B961" s="81"/>
      <c r="C961" s="81"/>
      <c r="D961" s="82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1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1"/>
      <c r="B962" s="81"/>
      <c r="C962" s="81"/>
      <c r="D962" s="82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1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1"/>
      <c r="B963" s="81"/>
      <c r="C963" s="81"/>
      <c r="D963" s="82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1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1"/>
      <c r="B964" s="81"/>
      <c r="C964" s="81"/>
      <c r="D964" s="82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1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1"/>
      <c r="B965" s="81"/>
      <c r="C965" s="81"/>
      <c r="D965" s="82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1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1"/>
      <c r="B966" s="81"/>
      <c r="C966" s="81"/>
      <c r="D966" s="82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1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1"/>
      <c r="B967" s="81"/>
      <c r="C967" s="81"/>
      <c r="D967" s="82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1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1"/>
      <c r="B968" s="81"/>
      <c r="C968" s="81"/>
      <c r="D968" s="82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1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1"/>
      <c r="B969" s="81"/>
      <c r="C969" s="81"/>
      <c r="D969" s="82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1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1"/>
      <c r="B970" s="81"/>
      <c r="C970" s="81"/>
      <c r="D970" s="82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1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1"/>
      <c r="B971" s="81"/>
      <c r="C971" s="81"/>
      <c r="D971" s="82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1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1"/>
      <c r="B972" s="81"/>
      <c r="C972" s="81"/>
      <c r="D972" s="82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1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1"/>
      <c r="B973" s="81"/>
      <c r="C973" s="81"/>
      <c r="D973" s="82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1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1"/>
      <c r="B974" s="81"/>
      <c r="C974" s="81"/>
      <c r="D974" s="82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1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1"/>
      <c r="B975" s="81"/>
      <c r="C975" s="81"/>
      <c r="D975" s="82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1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1"/>
      <c r="B976" s="81"/>
      <c r="C976" s="81"/>
      <c r="D976" s="82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1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1"/>
      <c r="B977" s="81"/>
      <c r="C977" s="81"/>
      <c r="D977" s="82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1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1"/>
      <c r="B978" s="81"/>
      <c r="C978" s="81"/>
      <c r="D978" s="82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1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1"/>
      <c r="B979" s="81"/>
      <c r="C979" s="81"/>
      <c r="D979" s="82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1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1"/>
      <c r="B980" s="81"/>
      <c r="C980" s="81"/>
      <c r="D980" s="82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1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1"/>
      <c r="B981" s="81"/>
      <c r="C981" s="81"/>
      <c r="D981" s="82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1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1"/>
      <c r="B982" s="81"/>
      <c r="C982" s="81"/>
      <c r="D982" s="82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1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1"/>
      <c r="B983" s="81"/>
      <c r="C983" s="81"/>
      <c r="D983" s="82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1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1"/>
      <c r="B984" s="81"/>
      <c r="C984" s="81"/>
      <c r="D984" s="82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1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1"/>
      <c r="B985" s="81"/>
      <c r="C985" s="81"/>
      <c r="D985" s="82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1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1"/>
      <c r="B986" s="81"/>
      <c r="C986" s="81"/>
      <c r="D986" s="82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1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1"/>
      <c r="B987" s="81"/>
      <c r="C987" s="81"/>
      <c r="D987" s="82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1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1"/>
      <c r="B988" s="81"/>
      <c r="C988" s="81"/>
      <c r="D988" s="82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1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1"/>
      <c r="B989" s="81"/>
      <c r="C989" s="81"/>
      <c r="D989" s="82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1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1"/>
      <c r="B990" s="81"/>
      <c r="C990" s="81"/>
      <c r="D990" s="82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1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1"/>
      <c r="B991" s="81"/>
      <c r="C991" s="81"/>
      <c r="D991" s="82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1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1"/>
      <c r="B992" s="81"/>
      <c r="C992" s="81"/>
      <c r="D992" s="82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1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1"/>
      <c r="B993" s="81"/>
      <c r="C993" s="81"/>
      <c r="D993" s="82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1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1"/>
      <c r="B994" s="81"/>
      <c r="C994" s="81"/>
      <c r="D994" s="82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1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1"/>
      <c r="B995" s="81"/>
      <c r="C995" s="81"/>
      <c r="D995" s="82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1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1"/>
      <c r="B996" s="81"/>
      <c r="C996" s="81"/>
      <c r="D996" s="82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1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1"/>
      <c r="B997" s="81"/>
      <c r="C997" s="81"/>
      <c r="D997" s="82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1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1"/>
      <c r="B998" s="81"/>
      <c r="C998" s="81"/>
      <c r="D998" s="82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1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1"/>
      <c r="B999" s="81"/>
      <c r="C999" s="81"/>
      <c r="D999" s="82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1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1"/>
      <c r="B1000" s="81"/>
      <c r="C1000" s="81"/>
      <c r="D1000" s="82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1"/>
      <c r="S1000" s="8"/>
      <c r="T1000" s="8"/>
      <c r="U1000" s="8"/>
      <c r="V1000" s="8"/>
      <c r="W1000" s="8"/>
      <c r="X1000" s="8"/>
      <c r="Y1000" s="8"/>
      <c r="Z1000" s="8"/>
    </row>
  </sheetData>
  <mergeCells count="191">
    <mergeCell ref="K2:M2"/>
    <mergeCell ref="N2:O2"/>
    <mergeCell ref="A1:C1"/>
    <mergeCell ref="D1:Q1"/>
    <mergeCell ref="R1:U1"/>
    <mergeCell ref="A2:C2"/>
    <mergeCell ref="D2:E2"/>
    <mergeCell ref="F2:H2"/>
    <mergeCell ref="I2:J2"/>
    <mergeCell ref="B3:E3"/>
    <mergeCell ref="B4:E4"/>
    <mergeCell ref="B5:E5"/>
    <mergeCell ref="B6:E6"/>
    <mergeCell ref="B7:E7"/>
    <mergeCell ref="B8:E8"/>
    <mergeCell ref="B9:D9"/>
    <mergeCell ref="A17:C17"/>
    <mergeCell ref="D17:E17"/>
    <mergeCell ref="F17:K17"/>
    <mergeCell ref="L17:Q17"/>
    <mergeCell ref="R17:U17"/>
    <mergeCell ref="B10:D10"/>
    <mergeCell ref="B11:E11"/>
    <mergeCell ref="B12:E12"/>
    <mergeCell ref="B13:E13"/>
    <mergeCell ref="B14:D14"/>
    <mergeCell ref="B15:E15"/>
    <mergeCell ref="B16:E16"/>
    <mergeCell ref="A18:C18"/>
    <mergeCell ref="D18:E18"/>
    <mergeCell ref="F18:K18"/>
    <mergeCell ref="L18:Q18"/>
    <mergeCell ref="A19:C19"/>
    <mergeCell ref="D19:E19"/>
    <mergeCell ref="D20:E20"/>
    <mergeCell ref="A20:C20"/>
    <mergeCell ref="A21:C21"/>
    <mergeCell ref="D21:E21"/>
    <mergeCell ref="A22:C22"/>
    <mergeCell ref="D22:E22"/>
    <mergeCell ref="A23:C23"/>
    <mergeCell ref="D23:E23"/>
    <mergeCell ref="F20:K20"/>
    <mergeCell ref="F21:K21"/>
    <mergeCell ref="F23:K23"/>
    <mergeCell ref="L23:Q23"/>
    <mergeCell ref="F24:K24"/>
    <mergeCell ref="L24:Q24"/>
    <mergeCell ref="F25:K25"/>
    <mergeCell ref="L25:Q25"/>
    <mergeCell ref="F26:K26"/>
    <mergeCell ref="L26:Q26"/>
    <mergeCell ref="F27:K27"/>
    <mergeCell ref="L27:Q27"/>
    <mergeCell ref="F28:K28"/>
    <mergeCell ref="L28:Q28"/>
    <mergeCell ref="F29:K29"/>
    <mergeCell ref="L29:Q29"/>
    <mergeCell ref="F30:K30"/>
    <mergeCell ref="L30:Q30"/>
    <mergeCell ref="F31:K31"/>
    <mergeCell ref="L31:Q31"/>
    <mergeCell ref="F32:K32"/>
    <mergeCell ref="L32:Q32"/>
    <mergeCell ref="F33:K33"/>
    <mergeCell ref="L33:Q33"/>
    <mergeCell ref="F34:K34"/>
    <mergeCell ref="L34:Q34"/>
    <mergeCell ref="F35:K35"/>
    <mergeCell ref="L35:Q35"/>
    <mergeCell ref="L21:Q21"/>
    <mergeCell ref="F22:K22"/>
    <mergeCell ref="L22:Q22"/>
    <mergeCell ref="F36:K36"/>
    <mergeCell ref="L36:Q36"/>
    <mergeCell ref="F37:K37"/>
    <mergeCell ref="L37:Q37"/>
    <mergeCell ref="F38:K38"/>
    <mergeCell ref="L38:Q38"/>
    <mergeCell ref="F39:K39"/>
    <mergeCell ref="L39:Q39"/>
    <mergeCell ref="P2:R2"/>
    <mergeCell ref="T2:U2"/>
    <mergeCell ref="F3:U16"/>
    <mergeCell ref="R18:U40"/>
    <mergeCell ref="F19:K19"/>
    <mergeCell ref="L19:Q19"/>
    <mergeCell ref="L20:Q20"/>
    <mergeCell ref="F42:K42"/>
    <mergeCell ref="F43:K43"/>
    <mergeCell ref="L43:Q43"/>
    <mergeCell ref="F44:K44"/>
    <mergeCell ref="L44:Q44"/>
    <mergeCell ref="F52:K52"/>
    <mergeCell ref="L52:Q52"/>
    <mergeCell ref="F53:K53"/>
    <mergeCell ref="L53:Q53"/>
    <mergeCell ref="F54:K54"/>
    <mergeCell ref="L54:Q54"/>
    <mergeCell ref="R55:U57"/>
    <mergeCell ref="R58:U60"/>
    <mergeCell ref="F40:K40"/>
    <mergeCell ref="L40:Q40"/>
    <mergeCell ref="F41:K41"/>
    <mergeCell ref="L41:Q41"/>
    <mergeCell ref="R41:U41"/>
    <mergeCell ref="L42:Q42"/>
    <mergeCell ref="R42:U54"/>
    <mergeCell ref="F45:K45"/>
    <mergeCell ref="L45:Q45"/>
    <mergeCell ref="F46:K46"/>
    <mergeCell ref="L46:Q46"/>
    <mergeCell ref="F47:K47"/>
    <mergeCell ref="L47:Q47"/>
    <mergeCell ref="F48:K48"/>
    <mergeCell ref="L48:Q48"/>
    <mergeCell ref="F49:K49"/>
    <mergeCell ref="L49:Q49"/>
    <mergeCell ref="F50:K50"/>
    <mergeCell ref="L50:Q50"/>
    <mergeCell ref="A92:U94"/>
    <mergeCell ref="A95:U118"/>
    <mergeCell ref="F51:K51"/>
    <mergeCell ref="L51:Q51"/>
    <mergeCell ref="A55:Q60"/>
    <mergeCell ref="A63:Q66"/>
    <mergeCell ref="R63:U66"/>
    <mergeCell ref="A67:U90"/>
    <mergeCell ref="A91:U91"/>
    <mergeCell ref="A45:C45"/>
    <mergeCell ref="D45:E45"/>
    <mergeCell ref="A46:C46"/>
    <mergeCell ref="D46:E46"/>
    <mergeCell ref="A47:C47"/>
    <mergeCell ref="D47:E47"/>
    <mergeCell ref="D48:E48"/>
    <mergeCell ref="A48:C48"/>
    <mergeCell ref="A49:C49"/>
    <mergeCell ref="D49:E49"/>
    <mergeCell ref="A50:C50"/>
    <mergeCell ref="D50:E50"/>
    <mergeCell ref="A51:C51"/>
    <mergeCell ref="D51:E51"/>
    <mergeCell ref="A24:C24"/>
    <mergeCell ref="D24:E24"/>
    <mergeCell ref="A25:C25"/>
    <mergeCell ref="D25:E25"/>
    <mergeCell ref="A26:C26"/>
    <mergeCell ref="D26:E26"/>
    <mergeCell ref="D27:E27"/>
    <mergeCell ref="A27:C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D34:E34"/>
    <mergeCell ref="A34:C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D41:E41"/>
    <mergeCell ref="A41:C41"/>
    <mergeCell ref="A42:C42"/>
    <mergeCell ref="D42:E42"/>
    <mergeCell ref="A43:C43"/>
    <mergeCell ref="D43:E43"/>
    <mergeCell ref="A44:C44"/>
    <mergeCell ref="D44:E44"/>
    <mergeCell ref="A52:C52"/>
    <mergeCell ref="D52:E52"/>
    <mergeCell ref="A53:C53"/>
    <mergeCell ref="D53:E53"/>
    <mergeCell ref="A54:C54"/>
    <mergeCell ref="D54:E54"/>
  </mergeCells>
  <conditionalFormatting sqref="A19:A26">
    <cfRule type="expression" dxfId="0" priority="1">
      <formula>(#REF!="Drilling")</formula>
    </cfRule>
  </conditionalFormatting>
  <dataValidations>
    <dataValidation type="list" allowBlank="1" showErrorMessage="1" sqref="F20 L20">
      <formula1>"Right Hand,Left Hand,Neutral"</formula1>
    </dataValidation>
    <dataValidation type="list" allowBlank="1" showErrorMessage="1" sqref="B8">
      <formula1>"Select Application,Turning - External,Turning - Internal,Facing,Other"</formula1>
    </dataValidation>
    <dataValidation type="list" allowBlank="1" showErrorMessage="1" sqref="F38 L38">
      <formula1>"Select,Internal - Emulsion,Internal - Neat Oil,Internal - Compressed Air,External - Emulsion,External - Neat Oil,External - Compressed Air,MQL,Dry,Others"</formula1>
    </dataValidation>
    <dataValidation type="list" allowBlank="1" showErrorMessage="1" sqref="F37 L37">
      <formula1>"Select,Continuous Cut,Light interrupted Cut,Medium Interrupted Cut,Heavy Interrupted Cut,Cross Hole,Step Bore,Others"</formula1>
    </dataValidation>
    <dataValidation type="list" allowBlank="1" showErrorMessage="1" sqref="E9">
      <formula1>"Select,ISO-P,ISO-M,ISO-K,ISO-N,ISO-S,ISO-H,ISO-O"</formula1>
    </dataValidation>
    <dataValidation type="list" allowBlank="1" showErrorMessage="1" sqref="D39">
      <formula1>"Components,Minutes,Holes,Meters"</formula1>
    </dataValidation>
    <dataValidation type="list" allowBlank="1" showErrorMessage="1" sqref="E10">
      <formula1>"Select,HB,HRA,HRB,HRC,HRD,HV,HS,BHN"</formula1>
    </dataValidation>
    <dataValidation type="list" allowBlank="1" showErrorMessage="1" sqref="E14">
      <formula1>"INR,AED,SAR,USD,EUR,YEN,CNY"</formula1>
    </dataValidation>
    <dataValidation type="list" allowBlank="1" showErrorMessage="1" sqref="F40 L40">
      <formula1>"Select,Flank Wear,Crater Wear,Chipping,Built  up Edge,Fractures,Thermal Cracks,Flaking,Plastic Deformation,Other"</formula1>
    </dataValidation>
  </dataValidations>
  <printOptions horizontalCentered="1"/>
  <pageMargins bottom="0.75" footer="0.0" header="0.0" left="0.25" right="0.25" top="0.75"/>
  <pageSetup paperSize="8" orientation="portrait"/>
  <drawing r:id="rId1"/>
</worksheet>
</file>