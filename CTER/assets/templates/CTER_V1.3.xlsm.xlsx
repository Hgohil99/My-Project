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uster" sheetId="1" r:id="rId5"/>
    <sheet state="visible" name="HowToUse" sheetId="2" r:id="rId6"/>
  </sheets>
  <definedNames>
    <definedName name="ToolCostPerComponent_E">Muster!$F$89</definedName>
    <definedName name="TimePerPass_M">Muster!$L$56</definedName>
    <definedName name="LifePerEdge_E">Muster!$F$61</definedName>
    <definedName name="LastCell">Muster!$A$164</definedName>
    <definedName name="TotalCostPerComp_E">Muster!$F$94</definedName>
    <definedName name="FeedPerRev_M">Muster!$L$49</definedName>
    <definedName name="Cylindricity_M">Muster!$L$64</definedName>
    <definedName name="SizeMeasured_M">Muster!$L$80</definedName>
    <definedName name="LifeInIndexes_E">Muster!$F$83</definedName>
    <definedName name="Insert3Cost_E">Muster!$F$88</definedName>
    <definedName name="CoolantConcentration_M">Muster!$L$78</definedName>
    <definedName name="EconomicBegin">Muster!$A$81</definedName>
    <definedName name="IndexingCriteria_M">Muster!$L$62</definedName>
    <definedName name="Passes_M">Muster!$L$54</definedName>
    <definedName name="Insert2_M">Muster!$L$26</definedName>
    <definedName name="SavinginCycleTime_E">Muster!$F$91</definedName>
    <definedName name="HourlyRate">Muster!$B$14</definedName>
    <definedName name="PocketsinBody1_E">Muster!$F$25</definedName>
    <definedName name="ChamferBeforeReaming_M">Muster!$L$71</definedName>
    <definedName name="Grade3_E">Muster!$F$33</definedName>
    <definedName name="Rotations_E">Muster!$F$45</definedName>
    <definedName name="RunOut_E">Muster!$F$60</definedName>
    <definedName name="FeedPerRev_E">Muster!$F$49</definedName>
    <definedName name="Geometry2_E">Muster!$F$27</definedName>
    <definedName name="CutDia_E">Muster!$F$19</definedName>
    <definedName name="OrderCode_M">Muster!$L$18</definedName>
    <definedName name="MachineInterface">Muster!$B$15</definedName>
    <definedName name="NumberofIndexes2_M">Muster!$L$29</definedName>
    <definedName name="Grade2_M">Muster!$L$28</definedName>
    <definedName name="Insert1Cost_M">Muster!$L$86</definedName>
    <definedName name="StockRemoval_M">Muster!$L$55</definedName>
    <definedName name="Insert1_E">Muster!$F$21</definedName>
    <definedName name="LHorRH_M">Muster!$L$20</definedName>
    <definedName name="LineMarks_M">Muster!$L$69</definedName>
    <definedName name="Insert1Cost_E">Muster!$F$86</definedName>
    <definedName name="HelixAngle_E">Muster!$F$42</definedName>
    <definedName name="TolOnDc_E">Muster!$F$41</definedName>
    <definedName name="EffectiveEdges_M">Muster!$L$36</definedName>
    <definedName name="FeedPerTooth_E">Muster!$F$48</definedName>
    <definedName name="LinearFeed_E">Muster!$F$47</definedName>
    <definedName name="LDRatio_M">Muster!$L$37</definedName>
    <definedName name="ResharpningCost_M">Muster!$L$85</definedName>
    <definedName name="SavinginCycleTime_M">Muster!$L$91</definedName>
    <definedName name="ReverseReaming_M">Muster!$L$74</definedName>
    <definedName name="Grade3_M">Muster!$L$33</definedName>
    <definedName name="GageLength_M">Muster!$L$38</definedName>
    <definedName name="CutLength_M">Muster!$L$53</definedName>
    <definedName name="Passes_E">Muster!$F$54</definedName>
    <definedName name="Geometry1_M">Muster!$L$22</definedName>
    <definedName name="Component">Muster!$B$6</definedName>
    <definedName name="CutDepth_M">Muster!$L$50</definedName>
    <definedName name="LifePerEdge_M">Muster!$L$61</definedName>
    <definedName name="ThruCoolantAfterMounting_M">Muster!$L$77</definedName>
    <definedName name="CuttingCondition_M">Muster!$L$58</definedName>
    <definedName name="ToolHolding">Muster!$B$16</definedName>
    <definedName name="ProductionPerMonth">Muster!$B$11</definedName>
    <definedName name="BatchNo_M">Muster!$L$43</definedName>
    <definedName name="HoleType_E">Muster!$F$52</definedName>
    <definedName name="LHorRH_E">Muster!$F$20</definedName>
    <definedName name="ToolLifeTitle">Muster!$A$61</definedName>
    <definedName name="CutWidth_E">Muster!$F$51</definedName>
    <definedName name="EntryChamfer_M">Muster!$L$72</definedName>
    <definedName name="PreparedBy">Muster!$F$2</definedName>
    <definedName name="kappa_E">Muster!$F$39</definedName>
    <definedName name="Insert3_M">Muster!$L$31</definedName>
    <definedName name="MachineCostSaving_M">Muster!$L$93</definedName>
    <definedName name="BodyCost_M">Muster!$L$82</definedName>
    <definedName name="Insert1_M">Muster!$L$21</definedName>
    <definedName name="MachineCostPerComp_E">Muster!$F$92</definedName>
    <definedName name="TolOnDc_M">Muster!$L$41</definedName>
    <definedName name="TotalCostSaving_E">Muster!$F$95</definedName>
    <definedName name="EconomicCriteria">Muster!$R$82</definedName>
    <definedName name="MachineCostSaving_E">Muster!$F$93</definedName>
    <definedName name="NonPerformance_M">Muster!$L$63</definedName>
    <definedName name="ProductivityImproved_E">Muster!$F$98</definedName>
    <definedName name="BatchNo_E">Muster!$F$43</definedName>
    <definedName name="PocketsinBody2_M">Muster!$L$30</definedName>
    <definedName name="Insert3Cost_M">Muster!$L$88</definedName>
    <definedName name="TotalCutTime_E">Muster!$F$57</definedName>
    <definedName name="Margins_E">Muster!$F$40</definedName>
    <definedName name="CustomerCode">Muster!$B$5</definedName>
    <definedName name="NumberofIndexes3_M">Muster!$L$34</definedName>
    <definedName name="ProductivityImproved_M">Muster!$L$98</definedName>
    <definedName name="ISO">Muster!$E$9</definedName>
    <definedName name="Grade2_E">Muster!$F$28</definedName>
    <definedName name="HelixAngle_M">Muster!$L$42</definedName>
    <definedName name="Insert2Cost_M">Muster!$L$87</definedName>
    <definedName name="Coolant_M">Muster!$L$59</definedName>
    <definedName name="BodyCost_E">Muster!$F$82</definedName>
    <definedName name="FeedPerTooth_M">Muster!$L$48</definedName>
    <definedName name="ClampingPressure_M">Muster!$L$76</definedName>
    <definedName name="ToolCostTitle">Muster!$A$89</definedName>
    <definedName name="Chattering_M">Muster!$L$68</definedName>
    <definedName name="CustomerName">Muster!$B$4</definedName>
    <definedName name="LinearFeed_M">Muster!$L$47</definedName>
    <definedName name="PocketsinBody3_M">Muster!$L$35</definedName>
    <definedName name="LifeInIndexes_M">Muster!$L$83</definedName>
    <definedName name="CuttingSpeed_E">Muster!$F$46</definedName>
    <definedName name="Coolant_E">Muster!$F$59</definedName>
    <definedName name="kappa_M">Muster!$L$39</definedName>
    <definedName name="SavinginToolCost_E">Muster!$F$90</definedName>
    <definedName name="HoursSavedPerYear_E">Muster!$F$97</definedName>
    <definedName name="PreOperation_M">Muster!$L$73</definedName>
    <definedName name="HoursSavedPerYear_M">Muster!$L$97</definedName>
    <definedName name="AcceptanceCriteria">Muster!$R$18</definedName>
    <definedName name="NumberofIndexes1_E">Muster!$F$24</definedName>
    <definedName name="TotalCutTime_M">Muster!$L$57</definedName>
    <definedName name="IndexCriteriaText">Muster!$A$62</definedName>
    <definedName name="LDRatio_E">Muster!$F$37</definedName>
    <definedName name="Clamping_M">Muster!$L$75</definedName>
    <definedName name="ChartBegin">Muster!$A$106</definedName>
    <definedName name="Hardness">Muster!$B$10</definedName>
    <definedName name="HardnessScale">Muster!$E$10</definedName>
    <definedName name="Geometry3_M">Muster!$L$32</definedName>
    <definedName name="MachineCostPerComp_M">Muster!$L$92</definedName>
    <definedName name="GageLength_E">Muster!$F$38</definedName>
    <definedName name="Ovality_M">Muster!$L$65</definedName>
    <definedName name="MarketingPartner">Muster!$P$2</definedName>
    <definedName name="Resharpnings_E">Muster!$F$84</definedName>
    <definedName name="NonPerformance_E">Muster!$F$63</definedName>
    <definedName name="AnnualisedSavings_M">Muster!$L$96</definedName>
    <definedName name="RunOut_M">Muster!$L$60</definedName>
    <definedName name="Insert3_E">Muster!$F$31</definedName>
    <definedName name="PocketsinBody3_E">Muster!$F$35</definedName>
    <definedName name="MachineMake">Muster!$B$13</definedName>
    <definedName name="OrderCode_E">Muster!$F$18</definedName>
    <definedName name="Insert2Cost_E">Muster!$F$87</definedName>
    <definedName name="Geometry2_M">Muster!$L$27</definedName>
    <definedName name="EffectiveEdges_E">Muster!$F$36</definedName>
    <definedName name="Insert2_E">Muster!$F$26</definedName>
    <definedName name="Material">Muster!$B$9</definedName>
    <definedName name="Perpandicularity_M">Muster!$L$66</definedName>
    <definedName name="ConsumptionPerMonth">Muster!$T$2</definedName>
    <definedName name="DrawingNumber">Muster!$B$7</definedName>
    <definedName name="Resharpnings_M">Muster!$L$84</definedName>
    <definedName name="Grade1_M">Muster!$L$23</definedName>
    <definedName name="MachineType">Muster!$B$12</definedName>
    <definedName name="ReamingCast_M">Muster!$L$70</definedName>
    <definedName name="PocketsinBody2_E">Muster!$F$30</definedName>
    <definedName name="CuttingSpeed_M">Muster!$L$46</definedName>
    <definedName name="Application">Muster!$B$8</definedName>
    <definedName name="CycleTimeUnits">Muster!$D$91</definedName>
    <definedName name="Margins_M">Muster!$L$40</definedName>
    <definedName name="SalesEngineer">Muster!$K$2</definedName>
    <definedName name="SampleRef">Muster!$B$3</definedName>
    <definedName name="HoleType_M">Muster!$L$52</definedName>
    <definedName name="CutDia_M">Muster!$L$19</definedName>
    <definedName name="NumberofIndexes1_M">Muster!$L$24</definedName>
    <definedName name="IndexingCriteria_E">Muster!$F$62</definedName>
    <definedName name="CycleTimeTitle">Muster!$A$91</definedName>
    <definedName name="Currency">Muster!$E$14</definedName>
    <definedName name="CuttingCondition_E">Muster!$F$58</definedName>
    <definedName name="SavinginToolCost_M">Muster!$L$90</definedName>
    <definedName name="ToolCostPerComponent_M">Muster!$L$89</definedName>
    <definedName name="AnnualisedSavings_E">Muster!$F$96</definedName>
    <definedName name="CutWidth_M">Muster!$L$51</definedName>
    <definedName name="Geometry3_E">Muster!$F$32</definedName>
    <definedName name="CutDepth_E">Muster!$F$50</definedName>
    <definedName name="LifeUnits">Muster!$D$61</definedName>
    <definedName name="TotalCostPerComp_M">Muster!$L$94</definedName>
    <definedName name="InternalCoolantPressure_M">Muster!$L$79</definedName>
    <definedName name="Rotations_M">Muster!$L$45</definedName>
    <definedName name="ResharpningCost_E">Muster!$F$85</definedName>
    <definedName name="NumberofIndexes2_E">Muster!$F$29</definedName>
    <definedName name="NumberofIndexes3_E">Muster!$F$34</definedName>
    <definedName name="MachineCostTitle">Muster!$A$92</definedName>
    <definedName name="PSG">Muster!$A$1</definedName>
    <definedName name="AnnualSavingTitle">Muster!$A$96</definedName>
    <definedName name="TestDate">Muster!$A$2</definedName>
    <definedName name="Grade1_E">Muster!$F$23</definedName>
    <definedName name="TimePerPass_E">Muster!$F$56</definedName>
    <definedName name="PilotingDia_M">Muster!$L$67</definedName>
    <definedName name="TotalCostSaving_M">Muster!$L$95</definedName>
    <definedName name="PocketsinBody1_M">Muster!$L$25</definedName>
    <definedName name="CutLength_E">Muster!$F$53</definedName>
    <definedName name="TotalCostTitle">Muster!$A$94</definedName>
    <definedName name="ProductivityTitle">Muster!$A$98</definedName>
    <definedName name="Geometry1_E">Muster!$F$22</definedName>
  </definedNames>
  <calcPr/>
</workbook>
</file>

<file path=xl/sharedStrings.xml><?xml version="1.0" encoding="utf-8"?>
<sst xmlns="http://schemas.openxmlformats.org/spreadsheetml/2006/main" count="152" uniqueCount="120">
  <si>
    <t>To generate new report please click on New</t>
  </si>
  <si>
    <t>Please click on Cutting Tool Evaluation</t>
  </si>
  <si>
    <t>Cutting Tool Evaluation Report</t>
  </si>
  <si>
    <t>Author</t>
  </si>
  <si>
    <t>FSE</t>
  </si>
  <si>
    <t>MP Code</t>
  </si>
  <si>
    <t>CPM</t>
  </si>
  <si>
    <t>Development ID</t>
  </si>
  <si>
    <t>Customer</t>
  </si>
  <si>
    <t>EndCustomer Code</t>
  </si>
  <si>
    <t>Component</t>
  </si>
  <si>
    <t>Drawing Number</t>
  </si>
  <si>
    <t>Machining Operation</t>
  </si>
  <si>
    <t>Material</t>
  </si>
  <si>
    <t>Hardness</t>
  </si>
  <si>
    <t>Production/Month</t>
  </si>
  <si>
    <t>Machine Type</t>
  </si>
  <si>
    <t>Machine Make</t>
  </si>
  <si>
    <t>Hourly Rate</t>
  </si>
  <si>
    <t>INR</t>
  </si>
  <si>
    <t>Machine Interface</t>
  </si>
  <si>
    <t>Tool Holding</t>
  </si>
  <si>
    <t>Tool Details</t>
  </si>
  <si>
    <t>Units</t>
  </si>
  <si>
    <t>Existing</t>
  </si>
  <si>
    <t>Motherson</t>
  </si>
  <si>
    <t>Acceptance Criteria</t>
  </si>
  <si>
    <t>Body/Tool Order Code</t>
  </si>
  <si>
    <t>Job Diameter(D)</t>
  </si>
  <si>
    <t>mm</t>
  </si>
  <si>
    <t>Hand (LH or RH)</t>
  </si>
  <si>
    <t>Primary Insert #1 Order Code</t>
  </si>
  <si>
    <t>Geometry</t>
  </si>
  <si>
    <t>Grade</t>
  </si>
  <si>
    <t>Number of Indexes</t>
  </si>
  <si>
    <t>Nos</t>
  </si>
  <si>
    <t>Pockets in Body</t>
  </si>
  <si>
    <t>Insert #2 Order Code</t>
  </si>
  <si>
    <t>Insert #3 Order Code</t>
  </si>
  <si>
    <t>Effective Cutting Edges/Flutes (Z)</t>
  </si>
  <si>
    <t>L/D Ratio</t>
  </si>
  <si>
    <t>GPL</t>
  </si>
  <si>
    <t>Approach Angle</t>
  </si>
  <si>
    <t>°</t>
  </si>
  <si>
    <t>No of Margins</t>
  </si>
  <si>
    <t>Drill cuttting diameter tolerance</t>
  </si>
  <si>
    <t>Helix Angle</t>
  </si>
  <si>
    <t>Batch No</t>
  </si>
  <si>
    <t>Test and Cutting Data</t>
  </si>
  <si>
    <t>RPM(N)</t>
  </si>
  <si>
    <r>
      <rPr>
        <rFont val="Arial"/>
        <color theme="1"/>
        <sz val="10.0"/>
      </rPr>
      <t>min</t>
    </r>
    <r>
      <rPr>
        <rFont val="Arial"/>
        <color theme="1"/>
        <sz val="10.0"/>
        <vertAlign val="superscript"/>
      </rPr>
      <t>-1</t>
    </r>
  </si>
  <si>
    <t>Cutting Speed(m/min) (Vc)</t>
  </si>
  <si>
    <t>m/min</t>
  </si>
  <si>
    <t>Linear Feed (Vf)</t>
  </si>
  <si>
    <t>mm/min</t>
  </si>
  <si>
    <t>Feed per tooth (fz)</t>
  </si>
  <si>
    <t>mm/tooth</t>
  </si>
  <si>
    <t>Feed per Rev. (fn)</t>
  </si>
  <si>
    <t>mm/rev</t>
  </si>
  <si>
    <t>Axial Depth of Cut (ap)</t>
  </si>
  <si>
    <t>Radial Depth of Cut (ae)</t>
  </si>
  <si>
    <t>Hole Type</t>
  </si>
  <si>
    <t>Length of cut / pass</t>
  </si>
  <si>
    <t>No. of Pass</t>
  </si>
  <si>
    <t>Stock Removal</t>
  </si>
  <si>
    <t>Cut time per pass</t>
  </si>
  <si>
    <t>Sec</t>
  </si>
  <si>
    <t>Total Cut Time</t>
  </si>
  <si>
    <t>Cutting Condition</t>
  </si>
  <si>
    <t>Coolant</t>
  </si>
  <si>
    <t>TIR</t>
  </si>
  <si>
    <t>Microns</t>
  </si>
  <si>
    <t>Tool Life per edge (edge set)</t>
  </si>
  <si>
    <t>Tool Life units</t>
  </si>
  <si>
    <t>Tool Indexing / change criteria</t>
  </si>
  <si>
    <t>Non Performance Parameter</t>
  </si>
  <si>
    <t>Cylindricity</t>
  </si>
  <si>
    <t>Ovality/ Roundness</t>
  </si>
  <si>
    <t>Perpandicularity</t>
  </si>
  <si>
    <t>Piloting dia.</t>
  </si>
  <si>
    <t>Chattering</t>
  </si>
  <si>
    <t>Line marks</t>
  </si>
  <si>
    <t>Direct Reaming in Edge cast</t>
  </si>
  <si>
    <t>Chamfer available before Reaming</t>
  </si>
  <si>
    <t>Entry Chamfer</t>
  </si>
  <si>
    <t>Pre Operation in Same machine</t>
  </si>
  <si>
    <t>Reverse traverce in</t>
  </si>
  <si>
    <t>Clamping Area</t>
  </si>
  <si>
    <t>Clamping Pressure</t>
  </si>
  <si>
    <t>Bar</t>
  </si>
  <si>
    <t>thru coolant after tool mounting</t>
  </si>
  <si>
    <t>Coolant concentration</t>
  </si>
  <si>
    <t>%</t>
  </si>
  <si>
    <t>Internal coolant pressure</t>
  </si>
  <si>
    <t>Size Measured on Component</t>
  </si>
  <si>
    <t>Economic Comparison</t>
  </si>
  <si>
    <t>Economy and Productivity Criteria</t>
  </si>
  <si>
    <t>Cost of Tool/Body</t>
  </si>
  <si>
    <t>Body life in number of indexes</t>
  </si>
  <si>
    <t>No. of Resharpnings possible</t>
  </si>
  <si>
    <t>Per Resharpning Cost</t>
  </si>
  <si>
    <t>Insert1 Cost</t>
  </si>
  <si>
    <t>Insert2 Cost</t>
  </si>
  <si>
    <t>Insert3 Cost</t>
  </si>
  <si>
    <t>Tool cost per component</t>
  </si>
  <si>
    <t>Saving in Tool Cost</t>
  </si>
  <si>
    <t>Saving in cycle time</t>
  </si>
  <si>
    <t>Machine cost per component</t>
  </si>
  <si>
    <t>Saving in Machine cost</t>
  </si>
  <si>
    <t>Total cost per component</t>
  </si>
  <si>
    <t>Saving in Total cost per component</t>
  </si>
  <si>
    <t>Annualised savings</t>
  </si>
  <si>
    <t>Saving in hours per year</t>
  </si>
  <si>
    <t>Hours</t>
  </si>
  <si>
    <t>Productivity Improved</t>
  </si>
  <si>
    <t>Remarks</t>
  </si>
  <si>
    <t>(Engineer Signature)</t>
  </si>
  <si>
    <t>(Customer Signature)</t>
  </si>
  <si>
    <t>Tool Life &amp; Cost Comparison</t>
  </si>
  <si>
    <t>Key Parameters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</si>
</sst>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d\-mmm\-yy"/>
    <numFmt numFmtId="165" formatCode="0.000"/>
  </numFmts>
  <fonts count="12">
    <font>
      <sz val="11.0"/>
      <color theme="1"/>
      <name val="Calibri"/>
      <scheme val="minor"/>
    </font>
    <font>
      <color theme="1"/>
      <name val="Calibri"/>
      <scheme val="minor"/>
    </font>
    <font>
      <b/>
      <sz val="10.0"/>
      <color theme="1"/>
      <name val="Arial"/>
    </font>
    <font/>
    <font>
      <b/>
      <sz val="20.0"/>
      <color theme="1"/>
      <name val="Arial"/>
    </font>
    <font>
      <b/>
      <sz val="16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0.0"/>
      <color rgb="FFFF0000"/>
      <name val="Arial"/>
    </font>
    <font>
      <sz val="14.0"/>
      <color theme="1"/>
      <name val="Arial"/>
    </font>
    <font>
      <sz val="2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5F5F5F"/>
        <bgColor rgb="FF5F5F5F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5" fillId="0" fontId="3" numFmtId="0" xfId="0" applyBorder="1" applyFont="1"/>
    <xf borderId="6" fillId="2" fontId="6" numFmtId="0" xfId="0" applyAlignment="1" applyBorder="1" applyFill="1" applyFont="1">
      <alignment vertical="center"/>
    </xf>
    <xf borderId="0" fillId="0" fontId="6" numFmtId="0" xfId="0" applyAlignment="1" applyFont="1">
      <alignment vertical="center"/>
    </xf>
    <xf borderId="1" fillId="0" fontId="2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7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2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7" fillId="0" fontId="3" numFmtId="0" xfId="0" applyBorder="1" applyFont="1"/>
    <xf borderId="9" fillId="0" fontId="8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8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6" numFmtId="0" xfId="0" applyAlignment="1" applyBorder="1" applyFont="1">
      <alignment horizontal="left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1" fillId="3" fontId="6" numFmtId="0" xfId="0" applyAlignment="1" applyBorder="1" applyFill="1" applyFont="1">
      <alignment horizontal="left" shrinkToFit="0" vertical="center" wrapText="1"/>
    </xf>
    <xf borderId="26" fillId="0" fontId="3" numFmtId="0" xfId="0" applyBorder="1" applyFont="1"/>
    <xf borderId="4" fillId="3" fontId="6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center" vertical="center"/>
    </xf>
    <xf borderId="28" fillId="0" fontId="3" numFmtId="0" xfId="0" applyBorder="1" applyFont="1"/>
    <xf borderId="8" fillId="0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shrinkToFit="0" vertical="center" wrapText="1"/>
    </xf>
    <xf borderId="30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center" vertical="center"/>
    </xf>
    <xf borderId="17" fillId="0" fontId="6" numFmtId="165" xfId="0" applyAlignment="1" applyBorder="1" applyFont="1" applyNumberFormat="1">
      <alignment horizontal="center" vertical="center"/>
    </xf>
    <xf borderId="16" fillId="0" fontId="6" numFmtId="165" xfId="0" applyAlignment="1" applyBorder="1" applyFont="1" applyNumberFormat="1">
      <alignment horizontal="center" vertical="center"/>
    </xf>
    <xf borderId="31" fillId="0" fontId="3" numFmtId="0" xfId="0" applyBorder="1" applyFont="1"/>
    <xf borderId="16" fillId="0" fontId="6" numFmtId="0" xfId="0" applyAlignment="1" applyBorder="1" applyFont="1">
      <alignment horizontal="center" vertical="center"/>
    </xf>
    <xf borderId="30" fillId="0" fontId="6" numFmtId="0" xfId="0" applyAlignment="1" applyBorder="1" applyFont="1">
      <alignment horizontal="right" vertical="center"/>
    </xf>
    <xf borderId="9" fillId="0" fontId="6" numFmtId="1" xfId="0" applyAlignment="1" applyBorder="1" applyFont="1" applyNumberFormat="1">
      <alignment horizontal="center" vertical="center"/>
    </xf>
    <xf borderId="17" fillId="0" fontId="6" numFmtId="1" xfId="0" applyAlignment="1" applyBorder="1" applyFont="1" applyNumberFormat="1">
      <alignment horizontal="center" vertical="center"/>
    </xf>
    <xf borderId="9" fillId="0" fontId="6" numFmtId="2" xfId="0" applyAlignment="1" applyBorder="1" applyFont="1" applyNumberFormat="1">
      <alignment horizontal="center" vertical="center"/>
    </xf>
    <xf borderId="17" fillId="0" fontId="6" numFmtId="2" xfId="0" applyAlignment="1" applyBorder="1" applyFont="1" applyNumberFormat="1">
      <alignment horizontal="center" vertical="center"/>
    </xf>
    <xf borderId="16" fillId="0" fontId="6" numFmtId="1" xfId="0" applyAlignment="1" applyBorder="1" applyFont="1" applyNumberFormat="1">
      <alignment horizontal="center" vertical="center"/>
    </xf>
    <xf borderId="30" fillId="4" fontId="6" numFmtId="0" xfId="0" applyAlignment="1" applyBorder="1" applyFill="1" applyFont="1">
      <alignment horizontal="left" vertical="center"/>
    </xf>
    <xf borderId="32" fillId="0" fontId="3" numFmtId="0" xfId="0" applyBorder="1" applyFont="1"/>
    <xf borderId="33" fillId="4" fontId="6" numFmtId="0" xfId="0" applyAlignment="1" applyBorder="1" applyFont="1">
      <alignment horizontal="center" vertical="center"/>
    </xf>
    <xf borderId="34" fillId="4" fontId="9" numFmtId="0" xfId="0" applyAlignment="1" applyBorder="1" applyFont="1">
      <alignment horizontal="left" vertical="center"/>
    </xf>
    <xf borderId="35" fillId="0" fontId="3" numFmtId="0" xfId="0" applyBorder="1" applyFont="1"/>
    <xf borderId="36" fillId="0" fontId="3" numFmtId="0" xfId="0" applyBorder="1" applyFont="1"/>
    <xf borderId="37" fillId="0" fontId="6" numFmtId="0" xfId="0" applyAlignment="1" applyBorder="1" applyFont="1">
      <alignment horizontal="left" vertical="center"/>
    </xf>
    <xf borderId="17" fillId="0" fontId="6" numFmtId="9" xfId="0" applyAlignment="1" applyBorder="1" applyFont="1" applyNumberFormat="1">
      <alignment horizontal="center" vertical="center"/>
    </xf>
    <xf borderId="29" fillId="0" fontId="6" numFmtId="0" xfId="0" applyAlignment="1" applyBorder="1" applyFont="1">
      <alignment horizontal="center" vertical="center"/>
    </xf>
    <xf borderId="33" fillId="5" fontId="6" numFmtId="0" xfId="0" applyAlignment="1" applyBorder="1" applyFill="1" applyFont="1">
      <alignment horizontal="center" vertical="center"/>
    </xf>
    <xf borderId="8" fillId="0" fontId="3" numFmtId="0" xfId="0" applyBorder="1" applyFont="1"/>
    <xf borderId="38" fillId="0" fontId="3" numFmtId="0" xfId="0" applyBorder="1" applyFont="1"/>
    <xf borderId="37" fillId="0" fontId="10" numFmtId="0" xfId="0" applyAlignment="1" applyBorder="1" applyFont="1">
      <alignment horizontal="left" shrinkToFit="0" vertical="top" wrapText="1"/>
    </xf>
    <xf borderId="21" fillId="0" fontId="6" numFmtId="0" xfId="0" applyAlignment="1" applyBorder="1" applyFont="1">
      <alignment horizontal="center"/>
    </xf>
    <xf borderId="39" fillId="0" fontId="3" numFmtId="0" xfId="0" applyBorder="1" applyFont="1"/>
    <xf borderId="0" fillId="0" fontId="6" numFmtId="0" xfId="0" applyAlignment="1" applyFont="1">
      <alignment horizontal="center"/>
    </xf>
    <xf borderId="0" fillId="0" fontId="10" numFmtId="0" xfId="0" applyAlignment="1" applyFont="1">
      <alignment horizontal="left" vertical="top"/>
    </xf>
    <xf borderId="10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theme="0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8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1.jpg"/><Relationship Id="rId8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142875</xdr:colOff>
      <xdr:row>2</xdr:row>
      <xdr:rowOff>0</xdr:rowOff>
    </xdr:from>
    <xdr:ext cx="2286000" cy="1657350"/>
    <xdr:sp>
      <xdr:nvSpPr>
        <xdr:cNvPr id="5" name="Shape 5"/>
        <xdr:cNvSpPr txBox="1"/>
      </xdr:nvSpPr>
      <xdr:spPr>
        <a:xfrm>
          <a:off x="4207763" y="2956088"/>
          <a:ext cx="2276475" cy="1647825"/>
        </a:xfrm>
        <a:prstGeom prst="rect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Calibri"/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276225</xdr:colOff>
      <xdr:row>2</xdr:row>
      <xdr:rowOff>0</xdr:rowOff>
    </xdr:from>
    <xdr:ext cx="2266950" cy="1647825"/>
    <xdr:sp>
      <xdr:nvSpPr>
        <xdr:cNvPr id="6" name="Shape 6"/>
        <xdr:cNvSpPr txBox="1"/>
      </xdr:nvSpPr>
      <xdr:spPr>
        <a:xfrm>
          <a:off x="4217288" y="2960850"/>
          <a:ext cx="2257425" cy="1638300"/>
        </a:xfrm>
        <a:prstGeom prst="rect">
          <a:avLst/>
        </a:prstGeom>
        <a:blipFill rotWithShape="1">
          <a:blip r:embed="rId2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Calibri"/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0</xdr:colOff>
      <xdr:row>2</xdr:row>
      <xdr:rowOff>0</xdr:rowOff>
    </xdr:from>
    <xdr:ext cx="2286000" cy="1647825"/>
    <xdr:sp>
      <xdr:nvSpPr>
        <xdr:cNvPr id="7" name="Shape 7"/>
        <xdr:cNvSpPr txBox="1"/>
      </xdr:nvSpPr>
      <xdr:spPr>
        <a:xfrm>
          <a:off x="4207763" y="2960850"/>
          <a:ext cx="2276475" cy="1638300"/>
        </a:xfrm>
        <a:prstGeom prst="rect">
          <a:avLst/>
        </a:prstGeom>
        <a:blipFill rotWithShape="1">
          <a:blip r:embed="rId3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Calibri"/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142875</xdr:colOff>
      <xdr:row>8</xdr:row>
      <xdr:rowOff>219075</xdr:rowOff>
    </xdr:from>
    <xdr:ext cx="2286000" cy="1666875"/>
    <xdr:sp>
      <xdr:nvSpPr>
        <xdr:cNvPr id="8" name="Shape 8"/>
        <xdr:cNvSpPr txBox="1"/>
      </xdr:nvSpPr>
      <xdr:spPr>
        <a:xfrm>
          <a:off x="4207763" y="2951325"/>
          <a:ext cx="2276475" cy="1657350"/>
        </a:xfrm>
        <a:prstGeom prst="rect">
          <a:avLst/>
        </a:prstGeom>
        <a:blipFill rotWithShape="1">
          <a:blip r:embed="rId4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15</xdr:col>
      <xdr:colOff>276225</xdr:colOff>
      <xdr:row>9</xdr:row>
      <xdr:rowOff>0</xdr:rowOff>
    </xdr:from>
    <xdr:ext cx="2266950" cy="1647825"/>
    <xdr:sp>
      <xdr:nvSpPr>
        <xdr:cNvPr id="9" name="Shape 9"/>
        <xdr:cNvSpPr txBox="1"/>
      </xdr:nvSpPr>
      <xdr:spPr>
        <a:xfrm>
          <a:off x="4217288" y="2960850"/>
          <a:ext cx="2257425" cy="1638300"/>
        </a:xfrm>
        <a:prstGeom prst="rect">
          <a:avLst/>
        </a:prstGeom>
        <a:blipFill rotWithShape="1">
          <a:blip r:embed="rId5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5</xdr:col>
      <xdr:colOff>0</xdr:colOff>
      <xdr:row>8</xdr:row>
      <xdr:rowOff>219075</xdr:rowOff>
    </xdr:from>
    <xdr:ext cx="2286000" cy="1666875"/>
    <xdr:sp>
      <xdr:nvSpPr>
        <xdr:cNvPr id="10" name="Shape 10"/>
        <xdr:cNvSpPr txBox="1"/>
      </xdr:nvSpPr>
      <xdr:spPr>
        <a:xfrm>
          <a:off x="4207763" y="2951325"/>
          <a:ext cx="2276475" cy="1657350"/>
        </a:xfrm>
        <a:prstGeom prst="rect">
          <a:avLst/>
        </a:prstGeom>
        <a:blipFill rotWithShape="1">
          <a:blip r:embed="rId6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5400"/>
            <a:buFont typeface="Calibri"/>
            <a:buNone/>
          </a:pPr>
          <a:r>
            <a:rPr lang="en-US" sz="5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5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17</xdr:col>
      <xdr:colOff>76200</xdr:colOff>
      <xdr:row>0</xdr:row>
      <xdr:rowOff>95250</xdr:rowOff>
    </xdr:from>
    <xdr:ext cx="1600200" cy="533400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106</xdr:row>
      <xdr:rowOff>76200</xdr:rowOff>
    </xdr:from>
    <xdr:ext cx="1600200" cy="523875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2</xdr:row>
      <xdr:rowOff>123825</xdr:rowOff>
    </xdr:from>
    <xdr:ext cx="666750" cy="2124075"/>
    <xdr:grpSp>
      <xdr:nvGrpSpPr>
        <xdr:cNvPr id="2" name="Shape 2"/>
        <xdr:cNvGrpSpPr/>
      </xdr:nvGrpSpPr>
      <xdr:grpSpPr>
        <a:xfrm>
          <a:off x="5022150" y="2727488"/>
          <a:ext cx="647700" cy="2105025"/>
          <a:chOff x="5022150" y="2727488"/>
          <a:chExt cx="647700" cy="2105025"/>
        </a:xfrm>
      </xdr:grpSpPr>
      <xdr:cxnSp>
        <xdr:nvCxnSpPr>
          <xdr:cNvPr id="3" name="Shape 3"/>
          <xdr:cNvCxnSpPr/>
        </xdr:nvCxnSpPr>
        <xdr:spPr>
          <a:xfrm rot="10800000">
            <a:off x="5022150" y="2727488"/>
            <a:ext cx="647700" cy="2105025"/>
          </a:xfrm>
          <a:prstGeom prst="straightConnector1">
            <a:avLst/>
          </a:prstGeom>
          <a:noFill/>
          <a:ln cap="flat" cmpd="sng" w="19050">
            <a:solidFill>
              <a:schemeClr val="accent2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533400</xdr:colOff>
      <xdr:row>3</xdr:row>
      <xdr:rowOff>152400</xdr:rowOff>
    </xdr:from>
    <xdr:ext cx="1238250" cy="1790700"/>
    <xdr:grpSp>
      <xdr:nvGrpSpPr>
        <xdr:cNvPr id="2" name="Shape 2"/>
        <xdr:cNvGrpSpPr/>
      </xdr:nvGrpSpPr>
      <xdr:grpSpPr>
        <a:xfrm>
          <a:off x="4736400" y="2894175"/>
          <a:ext cx="1219200" cy="1771650"/>
          <a:chOff x="4736400" y="2894175"/>
          <a:chExt cx="1219200" cy="1771650"/>
        </a:xfrm>
      </xdr:grpSpPr>
      <xdr:cxnSp>
        <xdr:nvCxnSpPr>
          <xdr:cNvPr id="4" name="Shape 4"/>
          <xdr:cNvCxnSpPr/>
        </xdr:nvCxnSpPr>
        <xdr:spPr>
          <a:xfrm rot="10800000">
            <a:off x="4736400" y="2894175"/>
            <a:ext cx="1219200" cy="1771650"/>
          </a:xfrm>
          <a:prstGeom prst="straightConnector1">
            <a:avLst/>
          </a:prstGeom>
          <a:noFill/>
          <a:ln cap="flat" cmpd="sng" w="19050">
            <a:solidFill>
              <a:schemeClr val="accent2"/>
            </a:solidFill>
            <a:prstDash val="solid"/>
            <a:miter lim="8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342900</xdr:colOff>
      <xdr:row>1</xdr:row>
      <xdr:rowOff>47625</xdr:rowOff>
    </xdr:from>
    <xdr:ext cx="7010400" cy="23622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14"/>
    <col customWidth="1" min="2" max="5" width="6.14"/>
    <col customWidth="1" min="6" max="21" width="6.43"/>
    <col customWidth="1" min="22" max="22" width="0.43"/>
    <col customWidth="1" hidden="1" min="23" max="39" width="8.71"/>
  </cols>
  <sheetData>
    <row r="1" ht="57.0" customHeight="1">
      <c r="A1" s="2"/>
      <c r="B1" s="3"/>
      <c r="C1" s="4"/>
      <c r="D1" s="5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6"/>
      <c r="S1" s="3"/>
      <c r="T1" s="3"/>
      <c r="U1" s="7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ht="18.75" customHeight="1">
      <c r="A2" s="10">
        <f>TODAY()</f>
        <v>46234</v>
      </c>
      <c r="B2" s="3"/>
      <c r="C2" s="7"/>
      <c r="D2" s="11" t="s">
        <v>3</v>
      </c>
      <c r="E2" s="3"/>
      <c r="F2" s="12"/>
      <c r="G2" s="3"/>
      <c r="H2" s="7"/>
      <c r="I2" s="13" t="s">
        <v>4</v>
      </c>
      <c r="J2" s="3"/>
      <c r="K2" s="12"/>
      <c r="L2" s="3"/>
      <c r="M2" s="7"/>
      <c r="N2" s="13" t="s">
        <v>5</v>
      </c>
      <c r="O2" s="3"/>
      <c r="P2" s="12"/>
      <c r="Q2" s="3"/>
      <c r="R2" s="3"/>
      <c r="S2" s="13" t="s">
        <v>6</v>
      </c>
      <c r="T2" s="14"/>
      <c r="U2" s="7"/>
      <c r="V2" s="15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ht="18.75" customHeight="1">
      <c r="A3" s="17" t="s">
        <v>7</v>
      </c>
      <c r="B3" s="18"/>
      <c r="C3" s="19"/>
      <c r="D3" s="19"/>
      <c r="E3" s="19"/>
      <c r="F3" s="20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  <c r="V3" s="15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ht="18.75" customHeight="1">
      <c r="A4" s="17" t="s">
        <v>8</v>
      </c>
      <c r="B4" s="18"/>
      <c r="C4" s="19"/>
      <c r="D4" s="19"/>
      <c r="E4" s="19"/>
      <c r="F4" s="23"/>
      <c r="U4" s="24"/>
      <c r="V4" s="8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ht="18.75" customHeight="1">
      <c r="A5" s="25" t="s">
        <v>9</v>
      </c>
      <c r="B5" s="26"/>
      <c r="C5" s="19"/>
      <c r="D5" s="19"/>
      <c r="E5" s="19"/>
      <c r="F5" s="23"/>
      <c r="U5" s="24"/>
      <c r="V5" s="8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ht="18.75" customHeight="1">
      <c r="A6" s="25" t="s">
        <v>10</v>
      </c>
      <c r="B6" s="18"/>
      <c r="C6" s="19"/>
      <c r="D6" s="19"/>
      <c r="E6" s="19"/>
      <c r="F6" s="23"/>
      <c r="U6" s="24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ht="18.75" customHeight="1">
      <c r="A7" s="25" t="s">
        <v>11</v>
      </c>
      <c r="B7" s="18"/>
      <c r="C7" s="19"/>
      <c r="D7" s="19"/>
      <c r="E7" s="19"/>
      <c r="F7" s="23"/>
      <c r="U7" s="24"/>
      <c r="V7" s="8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ht="18.75" customHeight="1">
      <c r="A8" s="25" t="s">
        <v>12</v>
      </c>
      <c r="B8" s="26"/>
      <c r="C8" s="19"/>
      <c r="D8" s="19"/>
      <c r="E8" s="19"/>
      <c r="F8" s="23"/>
      <c r="U8" s="24"/>
      <c r="V8" s="8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ht="18.75" customHeight="1">
      <c r="A9" s="25" t="s">
        <v>13</v>
      </c>
      <c r="B9" s="27"/>
      <c r="C9" s="28"/>
      <c r="D9" s="28"/>
      <c r="E9" s="29"/>
      <c r="F9" s="23"/>
      <c r="U9" s="24"/>
      <c r="V9" s="8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ht="18.75" customHeight="1">
      <c r="A10" s="25" t="s">
        <v>14</v>
      </c>
      <c r="B10" s="30"/>
      <c r="C10" s="28"/>
      <c r="D10" s="28"/>
      <c r="E10" s="31"/>
      <c r="F10" s="23"/>
      <c r="U10" s="24"/>
      <c r="V10" s="8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ht="18.75" customHeight="1">
      <c r="A11" s="25" t="s">
        <v>15</v>
      </c>
      <c r="B11" s="26">
        <v>0.0</v>
      </c>
      <c r="C11" s="19"/>
      <c r="D11" s="19"/>
      <c r="E11" s="19"/>
      <c r="F11" s="23"/>
      <c r="U11" s="24"/>
      <c r="V11" s="8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ht="18.75" customHeight="1">
      <c r="A12" s="25" t="s">
        <v>16</v>
      </c>
      <c r="B12" s="26"/>
      <c r="C12" s="19"/>
      <c r="D12" s="19"/>
      <c r="E12" s="19"/>
      <c r="F12" s="23"/>
      <c r="U12" s="24"/>
      <c r="V12" s="8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ht="18.75" customHeight="1">
      <c r="A13" s="25" t="s">
        <v>17</v>
      </c>
      <c r="B13" s="26"/>
      <c r="C13" s="19"/>
      <c r="D13" s="19"/>
      <c r="E13" s="19"/>
      <c r="F13" s="23"/>
      <c r="U13" s="24"/>
      <c r="V13" s="8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ht="18.75" customHeight="1">
      <c r="A14" s="25" t="s">
        <v>18</v>
      </c>
      <c r="B14" s="27">
        <v>0.0</v>
      </c>
      <c r="C14" s="28"/>
      <c r="D14" s="28"/>
      <c r="E14" s="32" t="s">
        <v>19</v>
      </c>
      <c r="F14" s="23"/>
      <c r="U14" s="24"/>
      <c r="V14" s="8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ht="18.75" customHeight="1">
      <c r="A15" s="25" t="s">
        <v>20</v>
      </c>
      <c r="B15" s="30"/>
      <c r="C15" s="28"/>
      <c r="D15" s="28"/>
      <c r="E15" s="33"/>
      <c r="F15" s="23"/>
      <c r="U15" s="24"/>
      <c r="V15" s="8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ht="18.75" customHeight="1">
      <c r="A16" s="34" t="s">
        <v>21</v>
      </c>
      <c r="B16" s="35"/>
      <c r="C16" s="36"/>
      <c r="D16" s="36"/>
      <c r="E16" s="37"/>
      <c r="F16" s="38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40"/>
      <c r="V16" s="8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ht="18.75" customHeight="1">
      <c r="A17" s="41" t="s">
        <v>22</v>
      </c>
      <c r="B17" s="3"/>
      <c r="C17" s="42"/>
      <c r="D17" s="43" t="s">
        <v>23</v>
      </c>
      <c r="E17" s="4"/>
      <c r="F17" s="43" t="s">
        <v>24</v>
      </c>
      <c r="G17" s="3"/>
      <c r="H17" s="3"/>
      <c r="I17" s="3"/>
      <c r="J17" s="3"/>
      <c r="K17" s="4"/>
      <c r="L17" s="43" t="s">
        <v>25</v>
      </c>
      <c r="M17" s="3"/>
      <c r="N17" s="3"/>
      <c r="O17" s="3"/>
      <c r="P17" s="3"/>
      <c r="Q17" s="4"/>
      <c r="R17" s="43" t="s">
        <v>26</v>
      </c>
      <c r="S17" s="3"/>
      <c r="T17" s="3"/>
      <c r="U17" s="7"/>
      <c r="V17" s="8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ht="18.75" customHeight="1">
      <c r="A18" s="44" t="s">
        <v>27</v>
      </c>
      <c r="B18" s="19"/>
      <c r="C18" s="19"/>
      <c r="D18" s="45"/>
      <c r="E18" s="46"/>
      <c r="F18" s="45"/>
      <c r="G18" s="19"/>
      <c r="H18" s="19"/>
      <c r="I18" s="19"/>
      <c r="J18" s="19"/>
      <c r="K18" s="46"/>
      <c r="L18" s="47"/>
      <c r="M18" s="19"/>
      <c r="N18" s="19"/>
      <c r="O18" s="19"/>
      <c r="P18" s="19"/>
      <c r="Q18" s="46"/>
      <c r="R18" s="48"/>
      <c r="S18" s="21"/>
      <c r="T18" s="21"/>
      <c r="U18" s="22"/>
      <c r="V18" s="8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ht="18.75" customHeight="1">
      <c r="A19" s="49" t="s">
        <v>28</v>
      </c>
      <c r="B19" s="28"/>
      <c r="C19" s="28"/>
      <c r="D19" s="50" t="s">
        <v>29</v>
      </c>
      <c r="E19" s="33"/>
      <c r="F19" s="51">
        <v>0.0</v>
      </c>
      <c r="G19" s="28"/>
      <c r="H19" s="28"/>
      <c r="I19" s="28"/>
      <c r="J19" s="28"/>
      <c r="K19" s="33"/>
      <c r="L19" s="52">
        <v>0.0</v>
      </c>
      <c r="M19" s="28"/>
      <c r="N19" s="28"/>
      <c r="O19" s="28"/>
      <c r="P19" s="28"/>
      <c r="Q19" s="33"/>
      <c r="R19" s="53"/>
      <c r="U19" s="24"/>
      <c r="V19" s="8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ht="18.75" customHeight="1">
      <c r="A20" s="49" t="s">
        <v>30</v>
      </c>
      <c r="B20" s="28"/>
      <c r="C20" s="28"/>
      <c r="D20" s="50"/>
      <c r="E20" s="33"/>
      <c r="F20" s="50"/>
      <c r="G20" s="28"/>
      <c r="H20" s="28"/>
      <c r="I20" s="28"/>
      <c r="J20" s="28"/>
      <c r="K20" s="33"/>
      <c r="L20" s="54"/>
      <c r="M20" s="28"/>
      <c r="N20" s="28"/>
      <c r="O20" s="28"/>
      <c r="P20" s="28"/>
      <c r="Q20" s="33"/>
      <c r="R20" s="53"/>
      <c r="U20" s="24"/>
      <c r="V20" s="8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ht="18.75" customHeight="1">
      <c r="A21" s="49" t="s">
        <v>31</v>
      </c>
      <c r="B21" s="28"/>
      <c r="C21" s="28"/>
      <c r="D21" s="50"/>
      <c r="E21" s="33"/>
      <c r="F21" s="50"/>
      <c r="G21" s="28"/>
      <c r="H21" s="28"/>
      <c r="I21" s="28"/>
      <c r="J21" s="28"/>
      <c r="K21" s="33"/>
      <c r="L21" s="54"/>
      <c r="M21" s="28"/>
      <c r="N21" s="28"/>
      <c r="O21" s="28"/>
      <c r="P21" s="28"/>
      <c r="Q21" s="33"/>
      <c r="R21" s="53"/>
      <c r="U21" s="24"/>
      <c r="V21" s="8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ht="18.75" customHeight="1">
      <c r="A22" s="55" t="s">
        <v>32</v>
      </c>
      <c r="B22" s="28"/>
      <c r="C22" s="28"/>
      <c r="D22" s="50"/>
      <c r="E22" s="33"/>
      <c r="F22" s="50"/>
      <c r="G22" s="28"/>
      <c r="H22" s="28"/>
      <c r="I22" s="28"/>
      <c r="J22" s="28"/>
      <c r="K22" s="33"/>
      <c r="L22" s="54"/>
      <c r="M22" s="28"/>
      <c r="N22" s="28"/>
      <c r="O22" s="28"/>
      <c r="P22" s="28"/>
      <c r="Q22" s="33"/>
      <c r="R22" s="53"/>
      <c r="U22" s="24"/>
      <c r="V22" s="8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ht="18.75" customHeight="1">
      <c r="A23" s="55" t="s">
        <v>33</v>
      </c>
      <c r="B23" s="28"/>
      <c r="C23" s="28"/>
      <c r="D23" s="50"/>
      <c r="E23" s="33"/>
      <c r="F23" s="50"/>
      <c r="G23" s="28"/>
      <c r="H23" s="28"/>
      <c r="I23" s="28"/>
      <c r="J23" s="28"/>
      <c r="K23" s="33"/>
      <c r="L23" s="54"/>
      <c r="M23" s="28"/>
      <c r="N23" s="28"/>
      <c r="O23" s="28"/>
      <c r="P23" s="28"/>
      <c r="Q23" s="33"/>
      <c r="R23" s="53"/>
      <c r="U23" s="24"/>
      <c r="V23" s="8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ht="18.75" customHeight="1">
      <c r="A24" s="55" t="s">
        <v>34</v>
      </c>
      <c r="B24" s="28"/>
      <c r="C24" s="28"/>
      <c r="D24" s="50" t="s">
        <v>35</v>
      </c>
      <c r="E24" s="33"/>
      <c r="F24" s="50">
        <v>1.0</v>
      </c>
      <c r="G24" s="28"/>
      <c r="H24" s="28"/>
      <c r="I24" s="28"/>
      <c r="J24" s="28"/>
      <c r="K24" s="33"/>
      <c r="L24" s="54">
        <v>1.0</v>
      </c>
      <c r="M24" s="28"/>
      <c r="N24" s="28"/>
      <c r="O24" s="28"/>
      <c r="P24" s="28"/>
      <c r="Q24" s="33"/>
      <c r="R24" s="53"/>
      <c r="U24" s="24"/>
      <c r="V24" s="8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ht="18.75" customHeight="1">
      <c r="A25" s="55" t="s">
        <v>36</v>
      </c>
      <c r="B25" s="28"/>
      <c r="C25" s="28"/>
      <c r="D25" s="50" t="s">
        <v>35</v>
      </c>
      <c r="E25" s="33"/>
      <c r="F25" s="50"/>
      <c r="G25" s="28"/>
      <c r="H25" s="28"/>
      <c r="I25" s="28"/>
      <c r="J25" s="28"/>
      <c r="K25" s="33"/>
      <c r="L25" s="54"/>
      <c r="M25" s="28"/>
      <c r="N25" s="28"/>
      <c r="O25" s="28"/>
      <c r="P25" s="28"/>
      <c r="Q25" s="33"/>
      <c r="R25" s="53"/>
      <c r="U25" s="24"/>
      <c r="V25" s="8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ht="18.75" customHeight="1">
      <c r="A26" s="49" t="s">
        <v>37</v>
      </c>
      <c r="B26" s="28"/>
      <c r="C26" s="28"/>
      <c r="D26" s="50"/>
      <c r="E26" s="33"/>
      <c r="F26" s="50"/>
      <c r="G26" s="28"/>
      <c r="H26" s="28"/>
      <c r="I26" s="28"/>
      <c r="J26" s="28"/>
      <c r="K26" s="33"/>
      <c r="L26" s="54"/>
      <c r="M26" s="28"/>
      <c r="N26" s="28"/>
      <c r="O26" s="28"/>
      <c r="P26" s="28"/>
      <c r="Q26" s="33"/>
      <c r="R26" s="53"/>
      <c r="U26" s="24"/>
      <c r="V26" s="8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ht="18.75" customHeight="1">
      <c r="A27" s="55" t="s">
        <v>32</v>
      </c>
      <c r="B27" s="28"/>
      <c r="C27" s="28"/>
      <c r="D27" s="50"/>
      <c r="E27" s="33"/>
      <c r="F27" s="50"/>
      <c r="G27" s="28"/>
      <c r="H27" s="28"/>
      <c r="I27" s="28"/>
      <c r="J27" s="28"/>
      <c r="K27" s="33"/>
      <c r="L27" s="54"/>
      <c r="M27" s="28"/>
      <c r="N27" s="28"/>
      <c r="O27" s="28"/>
      <c r="P27" s="28"/>
      <c r="Q27" s="33"/>
      <c r="R27" s="53"/>
      <c r="U27" s="24"/>
      <c r="V27" s="8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ht="18.75" customHeight="1">
      <c r="A28" s="55" t="s">
        <v>33</v>
      </c>
      <c r="B28" s="28"/>
      <c r="C28" s="28"/>
      <c r="D28" s="50"/>
      <c r="E28" s="33"/>
      <c r="F28" s="50"/>
      <c r="G28" s="28"/>
      <c r="H28" s="28"/>
      <c r="I28" s="28"/>
      <c r="J28" s="28"/>
      <c r="K28" s="33"/>
      <c r="L28" s="54"/>
      <c r="M28" s="28"/>
      <c r="N28" s="28"/>
      <c r="O28" s="28"/>
      <c r="P28" s="28"/>
      <c r="Q28" s="33"/>
      <c r="R28" s="53"/>
      <c r="U28" s="24"/>
      <c r="V28" s="8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ht="18.75" customHeight="1">
      <c r="A29" s="55" t="s">
        <v>34</v>
      </c>
      <c r="B29" s="28"/>
      <c r="C29" s="28"/>
      <c r="D29" s="50" t="s">
        <v>35</v>
      </c>
      <c r="E29" s="33"/>
      <c r="F29" s="50">
        <v>1.0</v>
      </c>
      <c r="G29" s="28"/>
      <c r="H29" s="28"/>
      <c r="I29" s="28"/>
      <c r="J29" s="28"/>
      <c r="K29" s="33"/>
      <c r="L29" s="54">
        <v>1.0</v>
      </c>
      <c r="M29" s="28"/>
      <c r="N29" s="28"/>
      <c r="O29" s="28"/>
      <c r="P29" s="28"/>
      <c r="Q29" s="33"/>
      <c r="R29" s="53"/>
      <c r="U29" s="24"/>
      <c r="V29" s="8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ht="18.75" customHeight="1">
      <c r="A30" s="55" t="s">
        <v>36</v>
      </c>
      <c r="B30" s="28"/>
      <c r="C30" s="28"/>
      <c r="D30" s="50" t="s">
        <v>35</v>
      </c>
      <c r="E30" s="33"/>
      <c r="F30" s="50"/>
      <c r="G30" s="28"/>
      <c r="H30" s="28"/>
      <c r="I30" s="28"/>
      <c r="J30" s="28"/>
      <c r="K30" s="33"/>
      <c r="L30" s="54"/>
      <c r="M30" s="28"/>
      <c r="N30" s="28"/>
      <c r="O30" s="28"/>
      <c r="P30" s="28"/>
      <c r="Q30" s="33"/>
      <c r="R30" s="53"/>
      <c r="U30" s="24"/>
      <c r="V30" s="8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ht="18.75" customHeight="1">
      <c r="A31" s="49" t="s">
        <v>38</v>
      </c>
      <c r="B31" s="28"/>
      <c r="C31" s="28"/>
      <c r="D31" s="50"/>
      <c r="E31" s="33"/>
      <c r="F31" s="50"/>
      <c r="G31" s="28"/>
      <c r="H31" s="28"/>
      <c r="I31" s="28"/>
      <c r="J31" s="28"/>
      <c r="K31" s="33"/>
      <c r="L31" s="54"/>
      <c r="M31" s="28"/>
      <c r="N31" s="28"/>
      <c r="O31" s="28"/>
      <c r="P31" s="28"/>
      <c r="Q31" s="33"/>
      <c r="R31" s="53"/>
      <c r="U31" s="24"/>
      <c r="V31" s="8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ht="18.75" customHeight="1">
      <c r="A32" s="55" t="s">
        <v>32</v>
      </c>
      <c r="B32" s="28"/>
      <c r="C32" s="28"/>
      <c r="D32" s="50"/>
      <c r="E32" s="33"/>
      <c r="F32" s="50"/>
      <c r="G32" s="28"/>
      <c r="H32" s="28"/>
      <c r="I32" s="28"/>
      <c r="J32" s="28"/>
      <c r="K32" s="33"/>
      <c r="L32" s="54"/>
      <c r="M32" s="28"/>
      <c r="N32" s="28"/>
      <c r="O32" s="28"/>
      <c r="P32" s="28"/>
      <c r="Q32" s="33"/>
      <c r="R32" s="53"/>
      <c r="U32" s="24"/>
      <c r="V32" s="8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ht="18.75" customHeight="1">
      <c r="A33" s="55" t="s">
        <v>33</v>
      </c>
      <c r="B33" s="28"/>
      <c r="C33" s="28"/>
      <c r="D33" s="50"/>
      <c r="E33" s="33"/>
      <c r="F33" s="50"/>
      <c r="G33" s="28"/>
      <c r="H33" s="28"/>
      <c r="I33" s="28"/>
      <c r="J33" s="28"/>
      <c r="K33" s="33"/>
      <c r="L33" s="54"/>
      <c r="M33" s="28"/>
      <c r="N33" s="28"/>
      <c r="O33" s="28"/>
      <c r="P33" s="28"/>
      <c r="Q33" s="33"/>
      <c r="R33" s="53"/>
      <c r="U33" s="24"/>
      <c r="V33" s="8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ht="18.75" customHeight="1">
      <c r="A34" s="55" t="s">
        <v>34</v>
      </c>
      <c r="B34" s="28"/>
      <c r="C34" s="28"/>
      <c r="D34" s="50" t="s">
        <v>35</v>
      </c>
      <c r="E34" s="33"/>
      <c r="F34" s="50">
        <v>1.0</v>
      </c>
      <c r="G34" s="28"/>
      <c r="H34" s="28"/>
      <c r="I34" s="28"/>
      <c r="J34" s="28"/>
      <c r="K34" s="33"/>
      <c r="L34" s="54">
        <v>1.0</v>
      </c>
      <c r="M34" s="28"/>
      <c r="N34" s="28"/>
      <c r="O34" s="28"/>
      <c r="P34" s="28"/>
      <c r="Q34" s="33"/>
      <c r="R34" s="53"/>
      <c r="U34" s="24"/>
      <c r="V34" s="8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ht="18.75" customHeight="1">
      <c r="A35" s="55" t="s">
        <v>36</v>
      </c>
      <c r="B35" s="28"/>
      <c r="C35" s="28"/>
      <c r="D35" s="50" t="s">
        <v>35</v>
      </c>
      <c r="E35" s="33"/>
      <c r="F35" s="50"/>
      <c r="G35" s="28"/>
      <c r="H35" s="28"/>
      <c r="I35" s="28"/>
      <c r="J35" s="28"/>
      <c r="K35" s="33"/>
      <c r="L35" s="54"/>
      <c r="M35" s="28"/>
      <c r="N35" s="28"/>
      <c r="O35" s="28"/>
      <c r="P35" s="28"/>
      <c r="Q35" s="33"/>
      <c r="R35" s="53"/>
      <c r="U35" s="24"/>
      <c r="V35" s="8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ht="18.75" customHeight="1">
      <c r="A36" s="49" t="s">
        <v>39</v>
      </c>
      <c r="B36" s="28"/>
      <c r="C36" s="28"/>
      <c r="D36" s="50" t="s">
        <v>35</v>
      </c>
      <c r="E36" s="33"/>
      <c r="F36" s="50">
        <v>1.0</v>
      </c>
      <c r="G36" s="28"/>
      <c r="H36" s="28"/>
      <c r="I36" s="28"/>
      <c r="J36" s="28"/>
      <c r="K36" s="33"/>
      <c r="L36" s="54">
        <v>1.0</v>
      </c>
      <c r="M36" s="28"/>
      <c r="N36" s="28"/>
      <c r="O36" s="28"/>
      <c r="P36" s="28"/>
      <c r="Q36" s="33"/>
      <c r="R36" s="53"/>
      <c r="U36" s="24"/>
      <c r="V36" s="8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ht="18.75" customHeight="1">
      <c r="A37" s="49" t="s">
        <v>40</v>
      </c>
      <c r="B37" s="28"/>
      <c r="C37" s="28"/>
      <c r="D37" s="50"/>
      <c r="E37" s="33"/>
      <c r="F37" s="50"/>
      <c r="G37" s="28"/>
      <c r="H37" s="28"/>
      <c r="I37" s="28"/>
      <c r="J37" s="28"/>
      <c r="K37" s="33"/>
      <c r="L37" s="54"/>
      <c r="M37" s="28"/>
      <c r="N37" s="28"/>
      <c r="O37" s="28"/>
      <c r="P37" s="28"/>
      <c r="Q37" s="33"/>
      <c r="R37" s="53"/>
      <c r="U37" s="24"/>
      <c r="V37" s="8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ht="18.75" customHeight="1">
      <c r="A38" s="49" t="s">
        <v>41</v>
      </c>
      <c r="B38" s="28"/>
      <c r="C38" s="28"/>
      <c r="D38" s="50" t="s">
        <v>29</v>
      </c>
      <c r="E38" s="33"/>
      <c r="F38" s="50"/>
      <c r="G38" s="28"/>
      <c r="H38" s="28"/>
      <c r="I38" s="28"/>
      <c r="J38" s="28"/>
      <c r="K38" s="33"/>
      <c r="L38" s="54"/>
      <c r="M38" s="28"/>
      <c r="N38" s="28"/>
      <c r="O38" s="28"/>
      <c r="P38" s="28"/>
      <c r="Q38" s="33"/>
      <c r="R38" s="53"/>
      <c r="U38" s="24"/>
      <c r="V38" s="8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ht="18.75" customHeight="1">
      <c r="A39" s="49" t="s">
        <v>42</v>
      </c>
      <c r="B39" s="28"/>
      <c r="C39" s="28"/>
      <c r="D39" s="50" t="s">
        <v>43</v>
      </c>
      <c r="E39" s="33"/>
      <c r="F39" s="50">
        <v>0.0</v>
      </c>
      <c r="G39" s="28"/>
      <c r="H39" s="28"/>
      <c r="I39" s="28"/>
      <c r="J39" s="28"/>
      <c r="K39" s="33"/>
      <c r="L39" s="54">
        <v>0.0</v>
      </c>
      <c r="M39" s="28"/>
      <c r="N39" s="28"/>
      <c r="O39" s="28"/>
      <c r="P39" s="28"/>
      <c r="Q39" s="33"/>
      <c r="R39" s="53"/>
      <c r="U39" s="24"/>
      <c r="V39" s="8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ht="18.75" customHeight="1">
      <c r="A40" s="49" t="s">
        <v>44</v>
      </c>
      <c r="B40" s="28"/>
      <c r="C40" s="28"/>
      <c r="D40" s="50" t="s">
        <v>35</v>
      </c>
      <c r="E40" s="33"/>
      <c r="F40" s="50">
        <v>0.0</v>
      </c>
      <c r="G40" s="28"/>
      <c r="H40" s="28"/>
      <c r="I40" s="28"/>
      <c r="J40" s="28"/>
      <c r="K40" s="33"/>
      <c r="L40" s="54">
        <v>0.0</v>
      </c>
      <c r="M40" s="28"/>
      <c r="N40" s="28"/>
      <c r="O40" s="28"/>
      <c r="P40" s="28"/>
      <c r="Q40" s="33"/>
      <c r="R40" s="53"/>
      <c r="U40" s="24"/>
      <c r="V40" s="8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 ht="18.75" customHeight="1">
      <c r="A41" s="49" t="s">
        <v>45</v>
      </c>
      <c r="B41" s="28"/>
      <c r="C41" s="28"/>
      <c r="D41" s="50"/>
      <c r="E41" s="33"/>
      <c r="F41" s="50"/>
      <c r="G41" s="28"/>
      <c r="H41" s="28"/>
      <c r="I41" s="28"/>
      <c r="J41" s="28"/>
      <c r="K41" s="33"/>
      <c r="L41" s="54"/>
      <c r="M41" s="28"/>
      <c r="N41" s="28"/>
      <c r="O41" s="28"/>
      <c r="P41" s="28"/>
      <c r="Q41" s="33"/>
      <c r="R41" s="53"/>
      <c r="U41" s="24"/>
      <c r="V41" s="8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ht="18.75" customHeight="1">
      <c r="A42" s="49" t="s">
        <v>46</v>
      </c>
      <c r="B42" s="28"/>
      <c r="C42" s="28"/>
      <c r="D42" s="50" t="s">
        <v>43</v>
      </c>
      <c r="E42" s="33"/>
      <c r="F42" s="50">
        <v>0.0</v>
      </c>
      <c r="G42" s="28"/>
      <c r="H42" s="28"/>
      <c r="I42" s="28"/>
      <c r="J42" s="28"/>
      <c r="K42" s="33"/>
      <c r="L42" s="54">
        <v>0.0</v>
      </c>
      <c r="M42" s="28"/>
      <c r="N42" s="28"/>
      <c r="O42" s="28"/>
      <c r="P42" s="28"/>
      <c r="Q42" s="33"/>
      <c r="R42" s="53"/>
      <c r="U42" s="24"/>
      <c r="V42" s="8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 ht="18.75" customHeight="1">
      <c r="A43" s="49" t="s">
        <v>47</v>
      </c>
      <c r="B43" s="28"/>
      <c r="C43" s="28"/>
      <c r="D43" s="50"/>
      <c r="E43" s="33"/>
      <c r="F43" s="50"/>
      <c r="G43" s="28"/>
      <c r="H43" s="28"/>
      <c r="I43" s="28"/>
      <c r="J43" s="28"/>
      <c r="K43" s="33"/>
      <c r="L43" s="54"/>
      <c r="M43" s="28"/>
      <c r="N43" s="28"/>
      <c r="O43" s="28"/>
      <c r="P43" s="28"/>
      <c r="Q43" s="33"/>
      <c r="R43" s="53"/>
      <c r="U43" s="24"/>
      <c r="V43" s="8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</row>
    <row r="44" ht="18.75" customHeight="1">
      <c r="A44" s="41" t="s">
        <v>48</v>
      </c>
      <c r="B44" s="3"/>
      <c r="C44" s="42"/>
      <c r="D44" s="43" t="s">
        <v>23</v>
      </c>
      <c r="E44" s="4"/>
      <c r="F44" s="43" t="str">
        <f>F17</f>
        <v>Existing</v>
      </c>
      <c r="G44" s="3"/>
      <c r="H44" s="3"/>
      <c r="I44" s="3"/>
      <c r="J44" s="3"/>
      <c r="K44" s="4"/>
      <c r="L44" s="43" t="str">
        <f>L17</f>
        <v>Motherson</v>
      </c>
      <c r="M44" s="3"/>
      <c r="N44" s="3"/>
      <c r="O44" s="3"/>
      <c r="P44" s="3"/>
      <c r="Q44" s="4"/>
      <c r="R44" s="53"/>
      <c r="U44" s="24"/>
      <c r="V44" s="8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ht="18.75" customHeight="1">
      <c r="A45" s="44" t="s">
        <v>49</v>
      </c>
      <c r="B45" s="19"/>
      <c r="C45" s="19"/>
      <c r="D45" s="45" t="s">
        <v>50</v>
      </c>
      <c r="E45" s="46"/>
      <c r="F45" s="56">
        <v>0.0</v>
      </c>
      <c r="G45" s="19"/>
      <c r="H45" s="19"/>
      <c r="I45" s="19"/>
      <c r="J45" s="19"/>
      <c r="K45" s="46"/>
      <c r="L45" s="56">
        <v>0.0</v>
      </c>
      <c r="M45" s="19"/>
      <c r="N45" s="19"/>
      <c r="O45" s="19"/>
      <c r="P45" s="19"/>
      <c r="Q45" s="46"/>
      <c r="R45" s="53"/>
      <c r="U45" s="24"/>
      <c r="V45" s="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 ht="18.75" customHeight="1">
      <c r="A46" s="49" t="s">
        <v>51</v>
      </c>
      <c r="B46" s="28"/>
      <c r="C46" s="28"/>
      <c r="D46" s="50" t="s">
        <v>52</v>
      </c>
      <c r="E46" s="33"/>
      <c r="F46" s="56">
        <v>0.0</v>
      </c>
      <c r="G46" s="19"/>
      <c r="H46" s="19"/>
      <c r="I46" s="19"/>
      <c r="J46" s="19"/>
      <c r="K46" s="46"/>
      <c r="L46" s="57">
        <v>0.0</v>
      </c>
      <c r="M46" s="28"/>
      <c r="N46" s="28"/>
      <c r="O46" s="28"/>
      <c r="P46" s="28"/>
      <c r="Q46" s="33"/>
      <c r="R46" s="53"/>
      <c r="U46" s="24"/>
      <c r="V46" s="8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ht="18.75" customHeight="1">
      <c r="A47" s="49" t="s">
        <v>53</v>
      </c>
      <c r="B47" s="28"/>
      <c r="C47" s="28"/>
      <c r="D47" s="50" t="s">
        <v>54</v>
      </c>
      <c r="E47" s="33"/>
      <c r="F47" s="56">
        <v>0.0</v>
      </c>
      <c r="G47" s="19"/>
      <c r="H47" s="19"/>
      <c r="I47" s="19"/>
      <c r="J47" s="19"/>
      <c r="K47" s="46"/>
      <c r="L47" s="57">
        <v>0.0</v>
      </c>
      <c r="M47" s="28"/>
      <c r="N47" s="28"/>
      <c r="O47" s="28"/>
      <c r="P47" s="28"/>
      <c r="Q47" s="33"/>
      <c r="R47" s="53"/>
      <c r="U47" s="24"/>
      <c r="V47" s="8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ht="18.75" customHeight="1">
      <c r="A48" s="49" t="s">
        <v>55</v>
      </c>
      <c r="B48" s="28"/>
      <c r="C48" s="28"/>
      <c r="D48" s="50" t="s">
        <v>56</v>
      </c>
      <c r="E48" s="33"/>
      <c r="F48" s="58">
        <v>0.0</v>
      </c>
      <c r="G48" s="19"/>
      <c r="H48" s="19"/>
      <c r="I48" s="19"/>
      <c r="J48" s="19"/>
      <c r="K48" s="46"/>
      <c r="L48" s="59">
        <v>0.0</v>
      </c>
      <c r="M48" s="28"/>
      <c r="N48" s="28"/>
      <c r="O48" s="28"/>
      <c r="P48" s="28"/>
      <c r="Q48" s="33"/>
      <c r="R48" s="53"/>
      <c r="U48" s="24"/>
      <c r="V48" s="8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ht="18.75" customHeight="1">
      <c r="A49" s="49" t="s">
        <v>57</v>
      </c>
      <c r="B49" s="28"/>
      <c r="C49" s="28"/>
      <c r="D49" s="50" t="s">
        <v>58</v>
      </c>
      <c r="E49" s="33"/>
      <c r="F49" s="58">
        <v>0.0</v>
      </c>
      <c r="G49" s="19"/>
      <c r="H49" s="19"/>
      <c r="I49" s="19"/>
      <c r="J49" s="19"/>
      <c r="K49" s="46"/>
      <c r="L49" s="59">
        <v>0.0</v>
      </c>
      <c r="M49" s="28"/>
      <c r="N49" s="28"/>
      <c r="O49" s="28"/>
      <c r="P49" s="28"/>
      <c r="Q49" s="33"/>
      <c r="R49" s="53"/>
      <c r="U49" s="24"/>
      <c r="V49" s="8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ht="18.75" customHeight="1">
      <c r="A50" s="49" t="s">
        <v>59</v>
      </c>
      <c r="B50" s="28"/>
      <c r="C50" s="28"/>
      <c r="D50" s="50" t="s">
        <v>29</v>
      </c>
      <c r="E50" s="33"/>
      <c r="F50" s="59">
        <v>0.0</v>
      </c>
      <c r="G50" s="28"/>
      <c r="H50" s="28"/>
      <c r="I50" s="28"/>
      <c r="J50" s="28"/>
      <c r="K50" s="33"/>
      <c r="L50" s="59">
        <v>0.0</v>
      </c>
      <c r="M50" s="28"/>
      <c r="N50" s="28"/>
      <c r="O50" s="28"/>
      <c r="P50" s="28"/>
      <c r="Q50" s="33"/>
      <c r="R50" s="53"/>
      <c r="U50" s="24"/>
      <c r="V50" s="8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ht="18.75" customHeight="1">
      <c r="A51" s="49" t="s">
        <v>60</v>
      </c>
      <c r="B51" s="28"/>
      <c r="C51" s="28"/>
      <c r="D51" s="50" t="s">
        <v>29</v>
      </c>
      <c r="E51" s="33"/>
      <c r="F51" s="59">
        <v>0.0</v>
      </c>
      <c r="G51" s="28"/>
      <c r="H51" s="28"/>
      <c r="I51" s="28"/>
      <c r="J51" s="28"/>
      <c r="K51" s="33"/>
      <c r="L51" s="59">
        <v>0.0</v>
      </c>
      <c r="M51" s="28"/>
      <c r="N51" s="28"/>
      <c r="O51" s="28"/>
      <c r="P51" s="28"/>
      <c r="Q51" s="33"/>
      <c r="R51" s="53"/>
      <c r="U51" s="24"/>
      <c r="V51" s="8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 ht="18.75" customHeight="1">
      <c r="A52" s="49" t="s">
        <v>61</v>
      </c>
      <c r="B52" s="28"/>
      <c r="C52" s="28"/>
      <c r="D52" s="50"/>
      <c r="E52" s="33"/>
      <c r="F52" s="50"/>
      <c r="G52" s="28"/>
      <c r="H52" s="28"/>
      <c r="I52" s="28"/>
      <c r="J52" s="28"/>
      <c r="K52" s="33"/>
      <c r="L52" s="50"/>
      <c r="M52" s="28"/>
      <c r="N52" s="28"/>
      <c r="O52" s="28"/>
      <c r="P52" s="28"/>
      <c r="Q52" s="33"/>
      <c r="R52" s="53"/>
      <c r="U52" s="24"/>
      <c r="V52" s="8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ht="18.75" customHeight="1">
      <c r="A53" s="49" t="s">
        <v>62</v>
      </c>
      <c r="B53" s="28"/>
      <c r="C53" s="28"/>
      <c r="D53" s="50" t="s">
        <v>29</v>
      </c>
      <c r="E53" s="33"/>
      <c r="F53" s="59">
        <v>0.0</v>
      </c>
      <c r="G53" s="28"/>
      <c r="H53" s="28"/>
      <c r="I53" s="28"/>
      <c r="J53" s="28"/>
      <c r="K53" s="33"/>
      <c r="L53" s="59">
        <v>0.0</v>
      </c>
      <c r="M53" s="28"/>
      <c r="N53" s="28"/>
      <c r="O53" s="28"/>
      <c r="P53" s="28"/>
      <c r="Q53" s="33"/>
      <c r="R53" s="53"/>
      <c r="U53" s="24"/>
      <c r="V53" s="8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ht="18.75" customHeight="1">
      <c r="A54" s="49" t="s">
        <v>63</v>
      </c>
      <c r="B54" s="28"/>
      <c r="C54" s="28"/>
      <c r="D54" s="50" t="s">
        <v>35</v>
      </c>
      <c r="E54" s="33"/>
      <c r="F54" s="54">
        <v>0.0</v>
      </c>
      <c r="G54" s="28"/>
      <c r="H54" s="28"/>
      <c r="I54" s="28"/>
      <c r="J54" s="28"/>
      <c r="K54" s="33"/>
      <c r="L54" s="54">
        <v>0.0</v>
      </c>
      <c r="M54" s="28"/>
      <c r="N54" s="28"/>
      <c r="O54" s="28"/>
      <c r="P54" s="28"/>
      <c r="Q54" s="33"/>
      <c r="R54" s="53"/>
      <c r="U54" s="24"/>
      <c r="V54" s="8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ht="18.75" customHeight="1">
      <c r="A55" s="49" t="s">
        <v>64</v>
      </c>
      <c r="B55" s="28"/>
      <c r="C55" s="28"/>
      <c r="D55" s="50" t="s">
        <v>29</v>
      </c>
      <c r="E55" s="33"/>
      <c r="F55" s="54">
        <v>0.0</v>
      </c>
      <c r="G55" s="28"/>
      <c r="H55" s="28"/>
      <c r="I55" s="28"/>
      <c r="J55" s="28"/>
      <c r="K55" s="33"/>
      <c r="L55" s="54">
        <v>0.0</v>
      </c>
      <c r="M55" s="28"/>
      <c r="N55" s="28"/>
      <c r="O55" s="28"/>
      <c r="P55" s="28"/>
      <c r="Q55" s="33"/>
      <c r="R55" s="53"/>
      <c r="U55" s="24"/>
      <c r="V55" s="8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 ht="18.75" customHeight="1">
      <c r="A56" s="49" t="s">
        <v>65</v>
      </c>
      <c r="B56" s="28"/>
      <c r="C56" s="28"/>
      <c r="D56" s="50" t="s">
        <v>66</v>
      </c>
      <c r="E56" s="33"/>
      <c r="F56" s="59">
        <f>IFERROR(CutLength_E/LinearFeed_E,0)*60</f>
        <v>0</v>
      </c>
      <c r="G56" s="28"/>
      <c r="H56" s="28"/>
      <c r="I56" s="28"/>
      <c r="J56" s="28"/>
      <c r="K56" s="33"/>
      <c r="L56" s="59">
        <f>IFERROR(CutLength_M/LinearFeed_M,0)*60</f>
        <v>0</v>
      </c>
      <c r="M56" s="28"/>
      <c r="N56" s="28"/>
      <c r="O56" s="28"/>
      <c r="P56" s="28"/>
      <c r="Q56" s="33"/>
      <c r="R56" s="53"/>
      <c r="U56" s="24"/>
      <c r="V56" s="8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 ht="18.75" customHeight="1">
      <c r="A57" s="49" t="s">
        <v>67</v>
      </c>
      <c r="B57" s="28"/>
      <c r="C57" s="28"/>
      <c r="D57" s="50" t="s">
        <v>66</v>
      </c>
      <c r="E57" s="33"/>
      <c r="F57" s="59">
        <f>TimePerPass_E*Passes_E</f>
        <v>0</v>
      </c>
      <c r="G57" s="28"/>
      <c r="H57" s="28"/>
      <c r="I57" s="28"/>
      <c r="J57" s="28"/>
      <c r="K57" s="33"/>
      <c r="L57" s="59">
        <f>TimePerPass_M*Passes_M</f>
        <v>0</v>
      </c>
      <c r="M57" s="28"/>
      <c r="N57" s="28"/>
      <c r="O57" s="28"/>
      <c r="P57" s="28"/>
      <c r="Q57" s="33"/>
      <c r="R57" s="53"/>
      <c r="U57" s="24"/>
      <c r="V57" s="8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ht="18.75" customHeight="1">
      <c r="A58" s="49" t="s">
        <v>68</v>
      </c>
      <c r="B58" s="28"/>
      <c r="C58" s="28"/>
      <c r="D58" s="50"/>
      <c r="E58" s="33"/>
      <c r="F58" s="50"/>
      <c r="G58" s="28"/>
      <c r="H58" s="28"/>
      <c r="I58" s="28"/>
      <c r="J58" s="28"/>
      <c r="K58" s="33"/>
      <c r="L58" s="50"/>
      <c r="M58" s="28"/>
      <c r="N58" s="28"/>
      <c r="O58" s="28"/>
      <c r="P58" s="28"/>
      <c r="Q58" s="33"/>
      <c r="R58" s="53"/>
      <c r="U58" s="24"/>
      <c r="V58" s="8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ht="18.75" customHeight="1">
      <c r="A59" s="49" t="s">
        <v>69</v>
      </c>
      <c r="B59" s="28"/>
      <c r="C59" s="28"/>
      <c r="D59" s="50"/>
      <c r="E59" s="33"/>
      <c r="F59" s="50"/>
      <c r="G59" s="28"/>
      <c r="H59" s="28"/>
      <c r="I59" s="28"/>
      <c r="J59" s="28"/>
      <c r="K59" s="33"/>
      <c r="L59" s="50"/>
      <c r="M59" s="28"/>
      <c r="N59" s="28"/>
      <c r="O59" s="28"/>
      <c r="P59" s="28"/>
      <c r="Q59" s="33"/>
      <c r="R59" s="53"/>
      <c r="U59" s="24"/>
      <c r="V59" s="8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 ht="18.75" customHeight="1">
      <c r="A60" s="49" t="s">
        <v>70</v>
      </c>
      <c r="B60" s="28"/>
      <c r="C60" s="28"/>
      <c r="D60" s="50" t="s">
        <v>71</v>
      </c>
      <c r="E60" s="33"/>
      <c r="F60" s="57">
        <v>0.0</v>
      </c>
      <c r="G60" s="28"/>
      <c r="H60" s="28"/>
      <c r="I60" s="28"/>
      <c r="J60" s="28"/>
      <c r="K60" s="33"/>
      <c r="L60" s="60">
        <v>0.0</v>
      </c>
      <c r="M60" s="28"/>
      <c r="N60" s="28"/>
      <c r="O60" s="28"/>
      <c r="P60" s="28"/>
      <c r="Q60" s="33"/>
      <c r="R60" s="53"/>
      <c r="U60" s="24"/>
      <c r="V60" s="8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ht="18.75" customHeight="1">
      <c r="A61" s="61" t="s">
        <v>72</v>
      </c>
      <c r="B61" s="28"/>
      <c r="C61" s="62"/>
      <c r="D61" s="63" t="s">
        <v>73</v>
      </c>
      <c r="E61" s="33"/>
      <c r="F61" s="63">
        <v>0.0</v>
      </c>
      <c r="G61" s="28"/>
      <c r="H61" s="28"/>
      <c r="I61" s="28"/>
      <c r="J61" s="28"/>
      <c r="K61" s="33"/>
      <c r="L61" s="63">
        <v>0.0</v>
      </c>
      <c r="M61" s="28"/>
      <c r="N61" s="28"/>
      <c r="O61" s="28"/>
      <c r="P61" s="28"/>
      <c r="Q61" s="33"/>
      <c r="R61" s="53"/>
      <c r="U61" s="24"/>
      <c r="V61" s="8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 ht="18.75" customHeight="1">
      <c r="A62" s="49" t="s">
        <v>74</v>
      </c>
      <c r="B62" s="28"/>
      <c r="C62" s="28"/>
      <c r="D62" s="50"/>
      <c r="E62" s="33"/>
      <c r="F62" s="50"/>
      <c r="G62" s="28"/>
      <c r="H62" s="28"/>
      <c r="I62" s="28"/>
      <c r="J62" s="28"/>
      <c r="K62" s="33"/>
      <c r="L62" s="50"/>
      <c r="M62" s="28"/>
      <c r="N62" s="28"/>
      <c r="O62" s="28"/>
      <c r="P62" s="28"/>
      <c r="Q62" s="33"/>
      <c r="R62" s="53"/>
      <c r="U62" s="24"/>
      <c r="V62" s="8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ht="18.75" customHeight="1">
      <c r="A63" s="64" t="s">
        <v>75</v>
      </c>
      <c r="B63" s="65"/>
      <c r="C63" s="66"/>
      <c r="D63" s="50"/>
      <c r="E63" s="33"/>
      <c r="F63" s="63"/>
      <c r="G63" s="28"/>
      <c r="H63" s="28"/>
      <c r="I63" s="28"/>
      <c r="J63" s="28"/>
      <c r="K63" s="33"/>
      <c r="L63" s="50"/>
      <c r="M63" s="28"/>
      <c r="N63" s="28"/>
      <c r="O63" s="28"/>
      <c r="P63" s="28"/>
      <c r="Q63" s="33"/>
      <c r="R63" s="53"/>
      <c r="U63" s="24"/>
      <c r="V63" s="8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 ht="18.75" customHeight="1">
      <c r="A64" s="67" t="s">
        <v>76</v>
      </c>
      <c r="B64" s="36"/>
      <c r="C64" s="36"/>
      <c r="D64" s="50" t="s">
        <v>71</v>
      </c>
      <c r="E64" s="33"/>
      <c r="F64" s="63"/>
      <c r="G64" s="28"/>
      <c r="H64" s="28"/>
      <c r="I64" s="28"/>
      <c r="J64" s="28"/>
      <c r="K64" s="33"/>
      <c r="L64" s="57">
        <v>0.0</v>
      </c>
      <c r="M64" s="28"/>
      <c r="N64" s="28"/>
      <c r="O64" s="28"/>
      <c r="P64" s="28"/>
      <c r="Q64" s="33"/>
      <c r="R64" s="53"/>
      <c r="U64" s="24"/>
      <c r="V64" s="8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ht="18.75" customHeight="1">
      <c r="A65" s="67" t="s">
        <v>77</v>
      </c>
      <c r="B65" s="36"/>
      <c r="C65" s="36"/>
      <c r="D65" s="50"/>
      <c r="E65" s="33"/>
      <c r="F65" s="63"/>
      <c r="G65" s="28"/>
      <c r="H65" s="28"/>
      <c r="I65" s="28"/>
      <c r="J65" s="28"/>
      <c r="K65" s="33"/>
      <c r="L65" s="50"/>
      <c r="M65" s="28"/>
      <c r="N65" s="28"/>
      <c r="O65" s="28"/>
      <c r="P65" s="28"/>
      <c r="Q65" s="33"/>
      <c r="R65" s="53"/>
      <c r="U65" s="24"/>
      <c r="V65" s="8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ht="18.75" customHeight="1">
      <c r="A66" s="67" t="s">
        <v>78</v>
      </c>
      <c r="B66" s="36"/>
      <c r="C66" s="36"/>
      <c r="D66" s="50"/>
      <c r="E66" s="33"/>
      <c r="F66" s="63"/>
      <c r="G66" s="28"/>
      <c r="H66" s="28"/>
      <c r="I66" s="28"/>
      <c r="J66" s="28"/>
      <c r="K66" s="33"/>
      <c r="L66" s="50"/>
      <c r="M66" s="28"/>
      <c r="N66" s="28"/>
      <c r="O66" s="28"/>
      <c r="P66" s="28"/>
      <c r="Q66" s="33"/>
      <c r="R66" s="53"/>
      <c r="U66" s="24"/>
      <c r="V66" s="8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ht="18.75" customHeight="1">
      <c r="A67" s="67" t="s">
        <v>79</v>
      </c>
      <c r="B67" s="36"/>
      <c r="C67" s="36"/>
      <c r="D67" s="50" t="s">
        <v>29</v>
      </c>
      <c r="E67" s="33"/>
      <c r="F67" s="63"/>
      <c r="G67" s="28"/>
      <c r="H67" s="28"/>
      <c r="I67" s="28"/>
      <c r="J67" s="28"/>
      <c r="K67" s="33"/>
      <c r="L67" s="59">
        <v>0.0</v>
      </c>
      <c r="M67" s="28"/>
      <c r="N67" s="28"/>
      <c r="O67" s="28"/>
      <c r="P67" s="28"/>
      <c r="Q67" s="33"/>
      <c r="R67" s="53"/>
      <c r="U67" s="24"/>
      <c r="V67" s="8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ht="18.75" customHeight="1">
      <c r="A68" s="67" t="s">
        <v>80</v>
      </c>
      <c r="B68" s="36"/>
      <c r="C68" s="36"/>
      <c r="D68" s="50"/>
      <c r="E68" s="33"/>
      <c r="F68" s="63"/>
      <c r="G68" s="28"/>
      <c r="H68" s="28"/>
      <c r="I68" s="28"/>
      <c r="J68" s="28"/>
      <c r="K68" s="33"/>
      <c r="L68" s="50"/>
      <c r="M68" s="28"/>
      <c r="N68" s="28"/>
      <c r="O68" s="28"/>
      <c r="P68" s="28"/>
      <c r="Q68" s="33"/>
      <c r="R68" s="53"/>
      <c r="U68" s="24"/>
      <c r="V68" s="8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 ht="18.75" customHeight="1">
      <c r="A69" s="67" t="s">
        <v>81</v>
      </c>
      <c r="B69" s="36"/>
      <c r="C69" s="36"/>
      <c r="D69" s="50"/>
      <c r="E69" s="33"/>
      <c r="F69" s="63"/>
      <c r="G69" s="28"/>
      <c r="H69" s="28"/>
      <c r="I69" s="28"/>
      <c r="J69" s="28"/>
      <c r="K69" s="33"/>
      <c r="L69" s="50"/>
      <c r="M69" s="28"/>
      <c r="N69" s="28"/>
      <c r="O69" s="28"/>
      <c r="P69" s="28"/>
      <c r="Q69" s="33"/>
      <c r="R69" s="53"/>
      <c r="U69" s="24"/>
      <c r="V69" s="8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 ht="18.75" customHeight="1">
      <c r="A70" s="67" t="s">
        <v>82</v>
      </c>
      <c r="B70" s="36"/>
      <c r="C70" s="36"/>
      <c r="D70" s="50"/>
      <c r="E70" s="33"/>
      <c r="F70" s="63"/>
      <c r="G70" s="28"/>
      <c r="H70" s="28"/>
      <c r="I70" s="28"/>
      <c r="J70" s="28"/>
      <c r="K70" s="33"/>
      <c r="L70" s="50"/>
      <c r="M70" s="28"/>
      <c r="N70" s="28"/>
      <c r="O70" s="28"/>
      <c r="P70" s="28"/>
      <c r="Q70" s="33"/>
      <c r="R70" s="53"/>
      <c r="U70" s="24"/>
      <c r="V70" s="8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 ht="18.75" customHeight="1">
      <c r="A71" s="67" t="s">
        <v>83</v>
      </c>
      <c r="B71" s="36"/>
      <c r="C71" s="36"/>
      <c r="D71" s="50"/>
      <c r="E71" s="33"/>
      <c r="F71" s="63"/>
      <c r="G71" s="28"/>
      <c r="H71" s="28"/>
      <c r="I71" s="28"/>
      <c r="J71" s="28"/>
      <c r="K71" s="33"/>
      <c r="L71" s="50"/>
      <c r="M71" s="28"/>
      <c r="N71" s="28"/>
      <c r="O71" s="28"/>
      <c r="P71" s="28"/>
      <c r="Q71" s="33"/>
      <c r="R71" s="53"/>
      <c r="U71" s="24"/>
      <c r="V71" s="8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ht="18.75" customHeight="1">
      <c r="A72" s="67" t="s">
        <v>84</v>
      </c>
      <c r="B72" s="36"/>
      <c r="C72" s="36"/>
      <c r="D72" s="50"/>
      <c r="E72" s="33"/>
      <c r="F72" s="63"/>
      <c r="G72" s="28"/>
      <c r="H72" s="28"/>
      <c r="I72" s="28"/>
      <c r="J72" s="28"/>
      <c r="K72" s="33"/>
      <c r="L72" s="50"/>
      <c r="M72" s="28"/>
      <c r="N72" s="28"/>
      <c r="O72" s="28"/>
      <c r="P72" s="28"/>
      <c r="Q72" s="33"/>
      <c r="R72" s="53"/>
      <c r="U72" s="24"/>
      <c r="V72" s="8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ht="18.75" customHeight="1">
      <c r="A73" s="67" t="s">
        <v>85</v>
      </c>
      <c r="B73" s="36"/>
      <c r="C73" s="36"/>
      <c r="D73" s="50"/>
      <c r="E73" s="33"/>
      <c r="F73" s="63"/>
      <c r="G73" s="28"/>
      <c r="H73" s="28"/>
      <c r="I73" s="28"/>
      <c r="J73" s="28"/>
      <c r="K73" s="33"/>
      <c r="L73" s="50"/>
      <c r="M73" s="28"/>
      <c r="N73" s="28"/>
      <c r="O73" s="28"/>
      <c r="P73" s="28"/>
      <c r="Q73" s="33"/>
      <c r="R73" s="53"/>
      <c r="U73" s="24"/>
      <c r="V73" s="8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ht="18.75" customHeight="1">
      <c r="A74" s="67" t="s">
        <v>86</v>
      </c>
      <c r="B74" s="36"/>
      <c r="C74" s="36"/>
      <c r="D74" s="50"/>
      <c r="E74" s="33"/>
      <c r="F74" s="63"/>
      <c r="G74" s="28"/>
      <c r="H74" s="28"/>
      <c r="I74" s="28"/>
      <c r="J74" s="28"/>
      <c r="K74" s="33"/>
      <c r="L74" s="50"/>
      <c r="M74" s="28"/>
      <c r="N74" s="28"/>
      <c r="O74" s="28"/>
      <c r="P74" s="28"/>
      <c r="Q74" s="33"/>
      <c r="R74" s="53"/>
      <c r="U74" s="24"/>
      <c r="V74" s="8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ht="18.75" customHeight="1">
      <c r="A75" s="67" t="s">
        <v>87</v>
      </c>
      <c r="B75" s="36"/>
      <c r="C75" s="36"/>
      <c r="D75" s="50"/>
      <c r="E75" s="33"/>
      <c r="F75" s="63"/>
      <c r="G75" s="28"/>
      <c r="H75" s="28"/>
      <c r="I75" s="28"/>
      <c r="J75" s="28"/>
      <c r="K75" s="33"/>
      <c r="L75" s="50"/>
      <c r="M75" s="28"/>
      <c r="N75" s="28"/>
      <c r="O75" s="28"/>
      <c r="P75" s="28"/>
      <c r="Q75" s="33"/>
      <c r="R75" s="53"/>
      <c r="U75" s="24"/>
      <c r="V75" s="8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ht="18.75" customHeight="1">
      <c r="A76" s="67" t="s">
        <v>88</v>
      </c>
      <c r="B76" s="36"/>
      <c r="C76" s="36"/>
      <c r="D76" s="50" t="s">
        <v>89</v>
      </c>
      <c r="E76" s="33"/>
      <c r="F76" s="63"/>
      <c r="G76" s="28"/>
      <c r="H76" s="28"/>
      <c r="I76" s="28"/>
      <c r="J76" s="28"/>
      <c r="K76" s="33"/>
      <c r="L76" s="50">
        <v>0.0</v>
      </c>
      <c r="M76" s="28"/>
      <c r="N76" s="28"/>
      <c r="O76" s="28"/>
      <c r="P76" s="28"/>
      <c r="Q76" s="33"/>
      <c r="R76" s="53"/>
      <c r="U76" s="24"/>
      <c r="V76" s="8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 ht="18.75" customHeight="1">
      <c r="A77" s="67" t="s">
        <v>90</v>
      </c>
      <c r="B77" s="36"/>
      <c r="C77" s="36"/>
      <c r="D77" s="50"/>
      <c r="E77" s="33"/>
      <c r="F77" s="63"/>
      <c r="G77" s="28"/>
      <c r="H77" s="28"/>
      <c r="I77" s="28"/>
      <c r="J77" s="28"/>
      <c r="K77" s="33"/>
      <c r="L77" s="50"/>
      <c r="M77" s="28"/>
      <c r="N77" s="28"/>
      <c r="O77" s="28"/>
      <c r="P77" s="28"/>
      <c r="Q77" s="33"/>
      <c r="R77" s="53"/>
      <c r="U77" s="24"/>
      <c r="V77" s="8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ht="18.75" customHeight="1">
      <c r="A78" s="67" t="s">
        <v>91</v>
      </c>
      <c r="B78" s="36"/>
      <c r="C78" s="36"/>
      <c r="D78" s="50" t="s">
        <v>92</v>
      </c>
      <c r="E78" s="33"/>
      <c r="F78" s="63"/>
      <c r="G78" s="28"/>
      <c r="H78" s="28"/>
      <c r="I78" s="28"/>
      <c r="J78" s="28"/>
      <c r="K78" s="33"/>
      <c r="L78" s="68">
        <v>0.0</v>
      </c>
      <c r="M78" s="28"/>
      <c r="N78" s="28"/>
      <c r="O78" s="28"/>
      <c r="P78" s="28"/>
      <c r="Q78" s="33"/>
      <c r="R78" s="53"/>
      <c r="U78" s="24"/>
      <c r="V78" s="8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ht="18.75" customHeight="1">
      <c r="A79" s="67" t="s">
        <v>93</v>
      </c>
      <c r="B79" s="36"/>
      <c r="C79" s="36"/>
      <c r="D79" s="50" t="s">
        <v>89</v>
      </c>
      <c r="E79" s="33"/>
      <c r="F79" s="63"/>
      <c r="G79" s="28"/>
      <c r="H79" s="28"/>
      <c r="I79" s="28"/>
      <c r="J79" s="28"/>
      <c r="K79" s="33"/>
      <c r="L79" s="57">
        <v>0.0</v>
      </c>
      <c r="M79" s="28"/>
      <c r="N79" s="28"/>
      <c r="O79" s="28"/>
      <c r="P79" s="28"/>
      <c r="Q79" s="33"/>
      <c r="R79" s="53"/>
      <c r="U79" s="24"/>
      <c r="V79" s="8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ht="18.75" customHeight="1">
      <c r="A80" s="67" t="s">
        <v>94</v>
      </c>
      <c r="B80" s="36"/>
      <c r="C80" s="36"/>
      <c r="D80" s="50"/>
      <c r="E80" s="33"/>
      <c r="F80" s="63"/>
      <c r="G80" s="28"/>
      <c r="H80" s="28"/>
      <c r="I80" s="28"/>
      <c r="J80" s="28"/>
      <c r="K80" s="33"/>
      <c r="L80" s="51">
        <v>0.0</v>
      </c>
      <c r="M80" s="28"/>
      <c r="N80" s="28"/>
      <c r="O80" s="28"/>
      <c r="P80" s="28"/>
      <c r="Q80" s="33"/>
      <c r="R80" s="53"/>
      <c r="U80" s="24"/>
      <c r="V80" s="8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ht="25.5" customHeight="1">
      <c r="A81" s="41" t="s">
        <v>95</v>
      </c>
      <c r="B81" s="3"/>
      <c r="C81" s="42"/>
      <c r="D81" s="43" t="s">
        <v>23</v>
      </c>
      <c r="E81" s="4"/>
      <c r="F81" s="43" t="str">
        <f>F17</f>
        <v>Existing</v>
      </c>
      <c r="G81" s="3"/>
      <c r="H81" s="3"/>
      <c r="I81" s="3"/>
      <c r="J81" s="3"/>
      <c r="K81" s="4"/>
      <c r="L81" s="43" t="str">
        <f>L17</f>
        <v>Motherson</v>
      </c>
      <c r="M81" s="3"/>
      <c r="N81" s="3"/>
      <c r="O81" s="3"/>
      <c r="P81" s="3"/>
      <c r="Q81" s="4"/>
      <c r="R81" s="43" t="s">
        <v>96</v>
      </c>
      <c r="S81" s="3"/>
      <c r="T81" s="3"/>
      <c r="U81" s="7"/>
      <c r="V81" s="8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 ht="18.75" customHeight="1">
      <c r="A82" s="44" t="s">
        <v>97</v>
      </c>
      <c r="B82" s="19"/>
      <c r="C82" s="19"/>
      <c r="D82" s="45" t="str">
        <f>Currency</f>
        <v>INR</v>
      </c>
      <c r="E82" s="46"/>
      <c r="F82" s="58">
        <v>0.0</v>
      </c>
      <c r="G82" s="19"/>
      <c r="H82" s="19"/>
      <c r="I82" s="19"/>
      <c r="J82" s="19"/>
      <c r="K82" s="46"/>
      <c r="L82" s="58">
        <v>0.0</v>
      </c>
      <c r="M82" s="19"/>
      <c r="N82" s="19"/>
      <c r="O82" s="19"/>
      <c r="P82" s="19"/>
      <c r="Q82" s="46"/>
      <c r="R82" s="69"/>
      <c r="S82" s="21"/>
      <c r="T82" s="21"/>
      <c r="U82" s="22"/>
      <c r="V82" s="8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ht="18.75" customHeight="1">
      <c r="A83" s="49" t="s">
        <v>98</v>
      </c>
      <c r="B83" s="28"/>
      <c r="C83" s="28"/>
      <c r="D83" s="50" t="s">
        <v>35</v>
      </c>
      <c r="E83" s="33"/>
      <c r="F83" s="50">
        <v>0.0</v>
      </c>
      <c r="G83" s="28"/>
      <c r="H83" s="28"/>
      <c r="I83" s="28"/>
      <c r="J83" s="28"/>
      <c r="K83" s="33"/>
      <c r="L83" s="50">
        <v>0.0</v>
      </c>
      <c r="M83" s="28"/>
      <c r="N83" s="28"/>
      <c r="O83" s="28"/>
      <c r="P83" s="28"/>
      <c r="Q83" s="33"/>
      <c r="R83" s="53"/>
      <c r="U83" s="24"/>
      <c r="V83" s="8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ht="18.75" customHeight="1">
      <c r="A84" s="49" t="s">
        <v>99</v>
      </c>
      <c r="B84" s="28"/>
      <c r="C84" s="28"/>
      <c r="D84" s="50" t="s">
        <v>35</v>
      </c>
      <c r="E84" s="33"/>
      <c r="F84" s="50">
        <v>0.0</v>
      </c>
      <c r="G84" s="28"/>
      <c r="H84" s="28"/>
      <c r="I84" s="28"/>
      <c r="J84" s="28"/>
      <c r="K84" s="33"/>
      <c r="L84" s="50">
        <v>0.0</v>
      </c>
      <c r="M84" s="28"/>
      <c r="N84" s="28"/>
      <c r="O84" s="28"/>
      <c r="P84" s="28"/>
      <c r="Q84" s="33"/>
      <c r="R84" s="53"/>
      <c r="U84" s="24"/>
      <c r="V84" s="8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ht="18.75" customHeight="1">
      <c r="A85" s="49" t="s">
        <v>100</v>
      </c>
      <c r="B85" s="28"/>
      <c r="C85" s="28"/>
      <c r="D85" s="50" t="str">
        <f>Currency</f>
        <v>INR</v>
      </c>
      <c r="E85" s="33"/>
      <c r="F85" s="59">
        <v>0.0</v>
      </c>
      <c r="G85" s="28"/>
      <c r="H85" s="28"/>
      <c r="I85" s="28"/>
      <c r="J85" s="28"/>
      <c r="K85" s="33"/>
      <c r="L85" s="59">
        <v>0.0</v>
      </c>
      <c r="M85" s="28"/>
      <c r="N85" s="28"/>
      <c r="O85" s="28"/>
      <c r="P85" s="28"/>
      <c r="Q85" s="33"/>
      <c r="R85" s="53"/>
      <c r="U85" s="24"/>
      <c r="V85" s="8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ht="18.75" customHeight="1">
      <c r="A86" s="49" t="s">
        <v>101</v>
      </c>
      <c r="B86" s="28"/>
      <c r="C86" s="28"/>
      <c r="D86" s="50" t="str">
        <f>Currency</f>
        <v>INR</v>
      </c>
      <c r="E86" s="33"/>
      <c r="F86" s="59">
        <v>0.0</v>
      </c>
      <c r="G86" s="28"/>
      <c r="H86" s="28"/>
      <c r="I86" s="28"/>
      <c r="J86" s="28"/>
      <c r="K86" s="33"/>
      <c r="L86" s="59">
        <v>0.0</v>
      </c>
      <c r="M86" s="28"/>
      <c r="N86" s="28"/>
      <c r="O86" s="28"/>
      <c r="P86" s="28"/>
      <c r="Q86" s="33"/>
      <c r="R86" s="53"/>
      <c r="U86" s="24"/>
      <c r="V86" s="8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ht="18.75" customHeight="1">
      <c r="A87" s="49" t="s">
        <v>102</v>
      </c>
      <c r="B87" s="28"/>
      <c r="C87" s="28"/>
      <c r="D87" s="50" t="str">
        <f>Currency</f>
        <v>INR</v>
      </c>
      <c r="E87" s="33"/>
      <c r="F87" s="59">
        <v>0.0</v>
      </c>
      <c r="G87" s="28"/>
      <c r="H87" s="28"/>
      <c r="I87" s="28"/>
      <c r="J87" s="28"/>
      <c r="K87" s="33"/>
      <c r="L87" s="59">
        <v>0.0</v>
      </c>
      <c r="M87" s="28"/>
      <c r="N87" s="28"/>
      <c r="O87" s="28"/>
      <c r="P87" s="28"/>
      <c r="Q87" s="33"/>
      <c r="R87" s="53"/>
      <c r="U87" s="24"/>
      <c r="V87" s="8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ht="18.75" customHeight="1">
      <c r="A88" s="49" t="s">
        <v>103</v>
      </c>
      <c r="B88" s="28"/>
      <c r="C88" s="28"/>
      <c r="D88" s="50" t="str">
        <f>Currency</f>
        <v>INR</v>
      </c>
      <c r="E88" s="33"/>
      <c r="F88" s="59">
        <v>0.0</v>
      </c>
      <c r="G88" s="28"/>
      <c r="H88" s="28"/>
      <c r="I88" s="28"/>
      <c r="J88" s="28"/>
      <c r="K88" s="33"/>
      <c r="L88" s="59">
        <v>0.0</v>
      </c>
      <c r="M88" s="28"/>
      <c r="N88" s="28"/>
      <c r="O88" s="28"/>
      <c r="P88" s="28"/>
      <c r="Q88" s="33"/>
      <c r="R88" s="53"/>
      <c r="U88" s="24"/>
      <c r="V88" s="8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ht="18.75" customHeight="1">
      <c r="A89" s="49" t="s">
        <v>104</v>
      </c>
      <c r="B89" s="28"/>
      <c r="C89" s="28"/>
      <c r="D89" s="50" t="str">
        <f>Currency</f>
        <v>INR</v>
      </c>
      <c r="E89" s="33"/>
      <c r="F89" s="59">
        <v>0.0</v>
      </c>
      <c r="G89" s="28"/>
      <c r="H89" s="28"/>
      <c r="I89" s="28"/>
      <c r="J89" s="28"/>
      <c r="K89" s="33"/>
      <c r="L89" s="59">
        <v>0.0</v>
      </c>
      <c r="M89" s="28"/>
      <c r="N89" s="28"/>
      <c r="O89" s="28"/>
      <c r="P89" s="28"/>
      <c r="Q89" s="33"/>
      <c r="R89" s="53"/>
      <c r="U89" s="24"/>
      <c r="V89" s="8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ht="18.75" customHeight="1">
      <c r="A90" s="49" t="s">
        <v>105</v>
      </c>
      <c r="B90" s="28"/>
      <c r="C90" s="28"/>
      <c r="D90" s="50" t="str">
        <f>Currency</f>
        <v>INR</v>
      </c>
      <c r="E90" s="33"/>
      <c r="F90" s="70"/>
      <c r="G90" s="28"/>
      <c r="H90" s="28"/>
      <c r="I90" s="28"/>
      <c r="J90" s="28"/>
      <c r="K90" s="33"/>
      <c r="L90" s="59">
        <f>IFERROR((ToolCostPerComponent_M-ToolCostPerComponent_E)*(-1),0)</f>
        <v>0</v>
      </c>
      <c r="M90" s="28"/>
      <c r="N90" s="28"/>
      <c r="O90" s="28"/>
      <c r="P90" s="28"/>
      <c r="Q90" s="33"/>
      <c r="R90" s="53"/>
      <c r="U90" s="24"/>
      <c r="V90" s="8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ht="18.75" customHeight="1">
      <c r="A91" s="49" t="s">
        <v>106</v>
      </c>
      <c r="B91" s="28"/>
      <c r="C91" s="28"/>
      <c r="D91" s="50" t="s">
        <v>66</v>
      </c>
      <c r="E91" s="33"/>
      <c r="F91" s="70"/>
      <c r="G91" s="28"/>
      <c r="H91" s="28"/>
      <c r="I91" s="28"/>
      <c r="J91" s="28"/>
      <c r="K91" s="33"/>
      <c r="L91" s="59">
        <f>(IFERROR(TotalCutTime_M-TotalCutTime_E,0))*(-1)</f>
        <v>0</v>
      </c>
      <c r="M91" s="28"/>
      <c r="N91" s="28"/>
      <c r="O91" s="28"/>
      <c r="P91" s="28"/>
      <c r="Q91" s="33"/>
      <c r="R91" s="53"/>
      <c r="U91" s="24"/>
      <c r="V91" s="8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 ht="18.75" customHeight="1">
      <c r="A92" s="49" t="s">
        <v>107</v>
      </c>
      <c r="B92" s="28"/>
      <c r="C92" s="28"/>
      <c r="D92" s="50" t="str">
        <f>Currency</f>
        <v>INR</v>
      </c>
      <c r="E92" s="33"/>
      <c r="F92" s="59">
        <f>IFERROR(TotalCutTime_E*HourlyRate/(60*60),0)</f>
        <v>0</v>
      </c>
      <c r="G92" s="28"/>
      <c r="H92" s="28"/>
      <c r="I92" s="28"/>
      <c r="J92" s="28"/>
      <c r="K92" s="33"/>
      <c r="L92" s="59">
        <f>IFERROR(TotalCutTime_M*HourlyRate/(60*60),0)</f>
        <v>0</v>
      </c>
      <c r="M92" s="28"/>
      <c r="N92" s="28"/>
      <c r="O92" s="28"/>
      <c r="P92" s="28"/>
      <c r="Q92" s="33"/>
      <c r="R92" s="53"/>
      <c r="U92" s="24"/>
      <c r="V92" s="8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ht="18.75" customHeight="1">
      <c r="A93" s="49" t="s">
        <v>108</v>
      </c>
      <c r="B93" s="28"/>
      <c r="C93" s="28"/>
      <c r="D93" s="50" t="str">
        <f>Currency</f>
        <v>INR</v>
      </c>
      <c r="E93" s="33"/>
      <c r="F93" s="70"/>
      <c r="G93" s="28"/>
      <c r="H93" s="28"/>
      <c r="I93" s="28"/>
      <c r="J93" s="28"/>
      <c r="K93" s="33"/>
      <c r="L93" s="59">
        <f>(IFERROR(MachineCostPerComp_M-MachineCostPerComp_E,0))*-1</f>
        <v>0</v>
      </c>
      <c r="M93" s="28"/>
      <c r="N93" s="28"/>
      <c r="O93" s="28"/>
      <c r="P93" s="28"/>
      <c r="Q93" s="33"/>
      <c r="R93" s="53"/>
      <c r="U93" s="24"/>
      <c r="V93" s="8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ht="18.75" customHeight="1">
      <c r="A94" s="49" t="s">
        <v>109</v>
      </c>
      <c r="B94" s="28"/>
      <c r="C94" s="28"/>
      <c r="D94" s="50" t="str">
        <f>Currency</f>
        <v>INR</v>
      </c>
      <c r="E94" s="33"/>
      <c r="F94" s="59">
        <f>IFERROR(ToolCostPerComponent_E+MachineCostPerComp_E,0)</f>
        <v>0</v>
      </c>
      <c r="G94" s="28"/>
      <c r="H94" s="28"/>
      <c r="I94" s="28"/>
      <c r="J94" s="28"/>
      <c r="K94" s="33"/>
      <c r="L94" s="59">
        <f>IFERROR(ToolCostPerComponent_M+MachineCostPerComp_M,0)</f>
        <v>0</v>
      </c>
      <c r="M94" s="28"/>
      <c r="N94" s="28"/>
      <c r="O94" s="28"/>
      <c r="P94" s="28"/>
      <c r="Q94" s="33"/>
      <c r="R94" s="53"/>
      <c r="U94" s="24"/>
      <c r="V94" s="8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ht="18.75" customHeight="1">
      <c r="A95" s="49" t="s">
        <v>110</v>
      </c>
      <c r="B95" s="28"/>
      <c r="C95" s="28"/>
      <c r="D95" s="50" t="str">
        <f>Currency</f>
        <v>INR</v>
      </c>
      <c r="E95" s="33"/>
      <c r="F95" s="70"/>
      <c r="G95" s="28"/>
      <c r="H95" s="28"/>
      <c r="I95" s="28"/>
      <c r="J95" s="28"/>
      <c r="K95" s="33"/>
      <c r="L95" s="59">
        <f>(IFERROR(TotalCostPerComp_M-TotalCostPerComp_E,0))*-1</f>
        <v>0</v>
      </c>
      <c r="M95" s="28"/>
      <c r="N95" s="28"/>
      <c r="O95" s="28"/>
      <c r="P95" s="28"/>
      <c r="Q95" s="33"/>
      <c r="R95" s="53"/>
      <c r="U95" s="24"/>
      <c r="V95" s="8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ht="18.75" customHeight="1">
      <c r="A96" s="49" t="s">
        <v>111</v>
      </c>
      <c r="B96" s="28"/>
      <c r="C96" s="28"/>
      <c r="D96" s="50" t="str">
        <f>Currency</f>
        <v>INR</v>
      </c>
      <c r="E96" s="33"/>
      <c r="F96" s="70"/>
      <c r="G96" s="28"/>
      <c r="H96" s="28"/>
      <c r="I96" s="28"/>
      <c r="J96" s="28"/>
      <c r="K96" s="33"/>
      <c r="L96" s="59">
        <f>ROUND(IFERROR(TotalCostSaving_M*ProductionPerMonth*12,0),2)</f>
        <v>0</v>
      </c>
      <c r="M96" s="28"/>
      <c r="N96" s="28"/>
      <c r="O96" s="28"/>
      <c r="P96" s="28"/>
      <c r="Q96" s="33"/>
      <c r="R96" s="53"/>
      <c r="U96" s="24"/>
      <c r="V96" s="8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ht="18.75" customHeight="1">
      <c r="A97" s="49" t="s">
        <v>112</v>
      </c>
      <c r="B97" s="28"/>
      <c r="C97" s="28"/>
      <c r="D97" s="50" t="s">
        <v>113</v>
      </c>
      <c r="E97" s="33"/>
      <c r="F97" s="70"/>
      <c r="G97" s="28"/>
      <c r="H97" s="28"/>
      <c r="I97" s="28"/>
      <c r="J97" s="28"/>
      <c r="K97" s="33"/>
      <c r="L97" s="59">
        <f>(IFERROR((TotalCutTime_M-TotalCutTime_E)*ProductionPerMonth*12/(60*60),0))*-1</f>
        <v>0</v>
      </c>
      <c r="M97" s="28"/>
      <c r="N97" s="28"/>
      <c r="O97" s="28"/>
      <c r="P97" s="28"/>
      <c r="Q97" s="33"/>
      <c r="R97" s="53"/>
      <c r="U97" s="24"/>
      <c r="V97" s="8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 ht="18.75" customHeight="1">
      <c r="A98" s="49" t="s">
        <v>114</v>
      </c>
      <c r="B98" s="28"/>
      <c r="C98" s="28"/>
      <c r="D98" s="50" t="s">
        <v>92</v>
      </c>
      <c r="E98" s="33"/>
      <c r="F98" s="70"/>
      <c r="G98" s="28"/>
      <c r="H98" s="28"/>
      <c r="I98" s="28"/>
      <c r="J98" s="28"/>
      <c r="K98" s="33"/>
      <c r="L98" s="68">
        <f>ROUND(IFERROR((TotalCutTime_M-TotalCutTime_E)/TotalCutTime_E,0)*(-1),2)</f>
        <v>0</v>
      </c>
      <c r="M98" s="28"/>
      <c r="N98" s="28"/>
      <c r="O98" s="28"/>
      <c r="P98" s="28"/>
      <c r="Q98" s="33"/>
      <c r="R98" s="71"/>
      <c r="S98" s="19"/>
      <c r="T98" s="19"/>
      <c r="U98" s="72"/>
      <c r="V98" s="8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 ht="18.75" customHeight="1">
      <c r="A99" s="73" t="s">
        <v>115</v>
      </c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74" t="s">
        <v>116</v>
      </c>
      <c r="S99" s="36"/>
      <c r="T99" s="36"/>
      <c r="U99" s="75"/>
      <c r="V99" s="8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ht="18.75" customHeight="1">
      <c r="A100" s="23"/>
      <c r="U100" s="24"/>
      <c r="V100" s="8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ht="18.75" customHeight="1">
      <c r="A101" s="23"/>
      <c r="U101" s="24"/>
      <c r="V101" s="8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ht="18.75" customHeight="1">
      <c r="A102" s="23"/>
      <c r="R102" s="76" t="s">
        <v>117</v>
      </c>
      <c r="U102" s="24"/>
      <c r="V102" s="8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 ht="18.75" customHeight="1">
      <c r="A103" s="23"/>
      <c r="U103" s="24"/>
      <c r="V103" s="8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 ht="18.75" customHeight="1">
      <c r="A104" s="3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40"/>
      <c r="V104" s="8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ht="6.0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6"/>
      <c r="S105" s="76"/>
      <c r="T105" s="76"/>
      <c r="U105" s="76"/>
      <c r="V105" s="8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ht="6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8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ht="12.75" customHeight="1">
      <c r="A107" s="78" t="s">
        <v>118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79"/>
      <c r="S107" s="21"/>
      <c r="T107" s="21"/>
      <c r="U107" s="22"/>
      <c r="V107" s="8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ht="12.75" customHeight="1">
      <c r="A108" s="23"/>
      <c r="U108" s="24"/>
      <c r="V108" s="8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ht="12.75" customHeight="1">
      <c r="A109" s="23"/>
      <c r="U109" s="24"/>
      <c r="V109" s="8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ht="13.5" customHeight="1">
      <c r="A110" s="38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40"/>
      <c r="V110" s="8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ht="12.75" customHeight="1">
      <c r="A111" s="80"/>
      <c r="U111" s="24"/>
      <c r="V111" s="8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ht="12.75" customHeight="1">
      <c r="A112" s="23"/>
      <c r="U112" s="24"/>
      <c r="V112" s="8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ht="12.75" customHeight="1">
      <c r="A113" s="23"/>
      <c r="U113" s="24"/>
      <c r="V113" s="8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 ht="12.75" customHeight="1">
      <c r="A114" s="23"/>
      <c r="U114" s="24"/>
      <c r="V114" s="8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ht="12.75" customHeight="1">
      <c r="A115" s="23"/>
      <c r="U115" s="24"/>
      <c r="V115" s="8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ht="12.75" customHeight="1">
      <c r="A116" s="23"/>
      <c r="U116" s="24"/>
      <c r="V116" s="8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ht="12.75" customHeight="1">
      <c r="A117" s="23"/>
      <c r="U117" s="24"/>
      <c r="V117" s="8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ht="12.75" customHeight="1">
      <c r="A118" s="23"/>
      <c r="U118" s="24"/>
      <c r="V118" s="8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ht="12.75" customHeight="1">
      <c r="A119" s="23"/>
      <c r="U119" s="24"/>
      <c r="V119" s="8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ht="12.75" customHeight="1">
      <c r="A120" s="23"/>
      <c r="U120" s="24"/>
      <c r="V120" s="8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ht="12.75" customHeight="1">
      <c r="A121" s="23"/>
      <c r="U121" s="24"/>
      <c r="V121" s="8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ht="12.75" customHeight="1">
      <c r="A122" s="23"/>
      <c r="U122" s="24"/>
      <c r="V122" s="8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ht="12.75" customHeight="1">
      <c r="A123" s="23"/>
      <c r="U123" s="24"/>
      <c r="V123" s="8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ht="12.75" customHeight="1">
      <c r="A124" s="23"/>
      <c r="U124" s="24"/>
      <c r="V124" s="8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</row>
    <row r="125" ht="12.75" customHeight="1">
      <c r="A125" s="23"/>
      <c r="U125" s="24"/>
      <c r="V125" s="8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 ht="12.75" customHeight="1">
      <c r="A126" s="23"/>
      <c r="U126" s="24"/>
      <c r="V126" s="8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 ht="12.75" customHeight="1">
      <c r="A127" s="23"/>
      <c r="U127" s="24"/>
      <c r="V127" s="8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 ht="12.75" customHeight="1">
      <c r="A128" s="23"/>
      <c r="U128" s="24"/>
      <c r="V128" s="8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ht="12.75" customHeight="1">
      <c r="A129" s="23"/>
      <c r="U129" s="24"/>
      <c r="V129" s="8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 ht="12.75" customHeight="1">
      <c r="A130" s="23"/>
      <c r="U130" s="24"/>
      <c r="V130" s="8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ht="12.75" customHeight="1">
      <c r="A131" s="23"/>
      <c r="U131" s="24"/>
      <c r="V131" s="8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</row>
    <row r="132" ht="12.75" customHeight="1">
      <c r="A132" s="23"/>
      <c r="U132" s="24"/>
      <c r="V132" s="8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</row>
    <row r="133" ht="12.75" customHeight="1">
      <c r="A133" s="23"/>
      <c r="U133" s="24"/>
      <c r="V133" s="8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 ht="12.75" customHeight="1">
      <c r="A134" s="38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40"/>
      <c r="V134" s="8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 ht="12.75" customHeight="1">
      <c r="A135" s="8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8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ht="12.75" customHeight="1">
      <c r="A136" s="78" t="s">
        <v>119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2"/>
      <c r="V136" s="8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ht="12.75" customHeight="1">
      <c r="A137" s="23"/>
      <c r="U137" s="24"/>
      <c r="V137" s="8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 ht="12.75" customHeight="1">
      <c r="A138" s="38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40"/>
      <c r="V138" s="8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 ht="12.75" customHeight="1">
      <c r="A139" s="80"/>
      <c r="U139" s="24"/>
      <c r="V139" s="8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</row>
    <row r="140" ht="12.75" customHeight="1">
      <c r="A140" s="23"/>
      <c r="U140" s="24"/>
      <c r="V140" s="8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 ht="12.75" customHeight="1">
      <c r="A141" s="23"/>
      <c r="U141" s="24"/>
      <c r="V141" s="8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 ht="12.75" customHeight="1">
      <c r="A142" s="23"/>
      <c r="U142" s="24"/>
      <c r="V142" s="8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 ht="12.75" customHeight="1">
      <c r="A143" s="23"/>
      <c r="U143" s="24"/>
      <c r="V143" s="8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ht="12.75" customHeight="1">
      <c r="A144" s="23"/>
      <c r="U144" s="24"/>
      <c r="V144" s="8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ht="12.75" customHeight="1">
      <c r="A145" s="23"/>
      <c r="U145" s="24"/>
      <c r="V145" s="8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 ht="12.75" customHeight="1">
      <c r="A146" s="23"/>
      <c r="U146" s="24"/>
      <c r="V146" s="8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ht="12.75" customHeight="1">
      <c r="A147" s="23"/>
      <c r="U147" s="24"/>
      <c r="V147" s="8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 ht="12.75" customHeight="1">
      <c r="A148" s="23"/>
      <c r="U148" s="24"/>
      <c r="V148" s="8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 ht="12.75" customHeight="1">
      <c r="A149" s="23"/>
      <c r="U149" s="24"/>
      <c r="V149" s="8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 ht="12.75" customHeight="1">
      <c r="A150" s="23"/>
      <c r="U150" s="24"/>
      <c r="V150" s="8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 ht="12.75" customHeight="1">
      <c r="A151" s="23"/>
      <c r="U151" s="24"/>
      <c r="V151" s="8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ht="12.75" customHeight="1">
      <c r="A152" s="23"/>
      <c r="U152" s="24"/>
      <c r="V152" s="8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ht="12.75" customHeight="1">
      <c r="A153" s="23"/>
      <c r="U153" s="24"/>
      <c r="V153" s="8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 ht="12.75" customHeight="1">
      <c r="A154" s="23"/>
      <c r="U154" s="24"/>
      <c r="V154" s="8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ht="12.75" customHeight="1">
      <c r="A155" s="23"/>
      <c r="U155" s="24"/>
      <c r="V155" s="8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ht="12.75" customHeight="1">
      <c r="A156" s="23"/>
      <c r="U156" s="24"/>
      <c r="V156" s="8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ht="12.75" customHeight="1">
      <c r="A157" s="23"/>
      <c r="U157" s="24"/>
      <c r="V157" s="8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 ht="12.75" customHeight="1">
      <c r="A158" s="23"/>
      <c r="U158" s="24"/>
      <c r="V158" s="8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</row>
    <row r="159" ht="12.75" customHeight="1">
      <c r="A159" s="23"/>
      <c r="U159" s="24"/>
      <c r="V159" s="8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</row>
    <row r="160" ht="12.75" customHeight="1">
      <c r="A160" s="23"/>
      <c r="U160" s="24"/>
      <c r="V160" s="8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</row>
    <row r="161" ht="12.75" customHeight="1">
      <c r="A161" s="23"/>
      <c r="U161" s="24"/>
      <c r="V161" s="8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 ht="12.75" customHeight="1">
      <c r="A162" s="38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40"/>
      <c r="V162" s="8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</row>
    <row r="163" ht="12.75" customHeight="1">
      <c r="A163" s="82"/>
      <c r="B163" s="82"/>
      <c r="C163" s="82"/>
      <c r="D163" s="83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2"/>
      <c r="S163" s="9"/>
      <c r="T163" s="9"/>
      <c r="U163" s="9"/>
      <c r="V163" s="8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</row>
    <row r="164" ht="12.75" customHeight="1">
      <c r="A164" s="82"/>
      <c r="B164" s="82"/>
      <c r="C164" s="82"/>
      <c r="D164" s="83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2"/>
      <c r="S164" s="9"/>
      <c r="T164" s="9"/>
      <c r="U164" s="9"/>
      <c r="V164" s="8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ht="12.75" hidden="1" customHeight="1">
      <c r="A165" s="82"/>
      <c r="B165" s="82"/>
      <c r="C165" s="82"/>
      <c r="D165" s="83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2"/>
      <c r="S165" s="9"/>
      <c r="T165" s="9"/>
      <c r="U165" s="9"/>
      <c r="V165" s="8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ht="12.75" hidden="1" customHeight="1">
      <c r="A166" s="82"/>
      <c r="B166" s="82"/>
      <c r="C166" s="82"/>
      <c r="D166" s="83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2"/>
      <c r="S166" s="9"/>
      <c r="T166" s="9"/>
      <c r="U166" s="9"/>
      <c r="V166" s="8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ht="12.75" hidden="1" customHeight="1">
      <c r="A167" s="82"/>
      <c r="B167" s="82"/>
      <c r="C167" s="82"/>
      <c r="D167" s="83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2"/>
      <c r="S167" s="9"/>
      <c r="T167" s="9"/>
      <c r="U167" s="9"/>
      <c r="V167" s="8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 ht="12.75" hidden="1" customHeight="1">
      <c r="A168" s="82"/>
      <c r="B168" s="82"/>
      <c r="C168" s="82"/>
      <c r="D168" s="83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2"/>
      <c r="S168" s="9"/>
      <c r="T168" s="9"/>
      <c r="U168" s="9"/>
      <c r="V168" s="8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 ht="12.75" hidden="1" customHeight="1">
      <c r="A169" s="82"/>
      <c r="B169" s="82"/>
      <c r="C169" s="82"/>
      <c r="D169" s="83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2"/>
      <c r="S169" s="9"/>
      <c r="T169" s="9"/>
      <c r="U169" s="9"/>
      <c r="V169" s="8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ht="12.75" customHeight="1">
      <c r="A170" s="82"/>
      <c r="B170" s="82"/>
      <c r="C170" s="82"/>
      <c r="D170" s="83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2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</row>
    <row r="171" ht="12.75" customHeight="1">
      <c r="A171" s="82"/>
      <c r="B171" s="82"/>
      <c r="C171" s="82"/>
      <c r="D171" s="83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2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ht="12.75" customHeight="1">
      <c r="A172" s="82"/>
      <c r="B172" s="82"/>
      <c r="C172" s="82"/>
      <c r="D172" s="83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2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 ht="12.75" customHeight="1">
      <c r="A173" s="82"/>
      <c r="B173" s="82"/>
      <c r="C173" s="82"/>
      <c r="D173" s="83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2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ht="12.75" customHeight="1">
      <c r="A174" s="82"/>
      <c r="B174" s="82"/>
      <c r="C174" s="82"/>
      <c r="D174" s="83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2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ht="12.75" customHeight="1">
      <c r="A175" s="82"/>
      <c r="B175" s="82"/>
      <c r="C175" s="82"/>
      <c r="D175" s="83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2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ht="12.75" customHeight="1">
      <c r="A176" s="82"/>
      <c r="B176" s="82"/>
      <c r="C176" s="82"/>
      <c r="D176" s="83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2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ht="12.75" customHeight="1">
      <c r="A177" s="82"/>
      <c r="B177" s="82"/>
      <c r="C177" s="82"/>
      <c r="D177" s="83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2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ht="12.75" customHeight="1">
      <c r="A178" s="82"/>
      <c r="B178" s="82"/>
      <c r="C178" s="82"/>
      <c r="D178" s="83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2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ht="12.75" customHeight="1">
      <c r="A179" s="82"/>
      <c r="B179" s="82"/>
      <c r="C179" s="82"/>
      <c r="D179" s="83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2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ht="12.75" customHeight="1">
      <c r="A180" s="82"/>
      <c r="B180" s="82"/>
      <c r="C180" s="82"/>
      <c r="D180" s="83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2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ht="12.75" customHeight="1">
      <c r="A181" s="82"/>
      <c r="B181" s="82"/>
      <c r="C181" s="82"/>
      <c r="D181" s="83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2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 ht="12.75" customHeight="1">
      <c r="A182" s="82"/>
      <c r="B182" s="82"/>
      <c r="C182" s="82"/>
      <c r="D182" s="83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2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ht="12.75" customHeight="1">
      <c r="A183" s="82"/>
      <c r="B183" s="82"/>
      <c r="C183" s="82"/>
      <c r="D183" s="83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2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 ht="12.75" customHeight="1">
      <c r="A184" s="82"/>
      <c r="B184" s="82"/>
      <c r="C184" s="82"/>
      <c r="D184" s="83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2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 ht="12.75" customHeight="1">
      <c r="A185" s="82"/>
      <c r="B185" s="82"/>
      <c r="C185" s="82"/>
      <c r="D185" s="83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2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ht="12.75" customHeight="1">
      <c r="A186" s="82"/>
      <c r="B186" s="82"/>
      <c r="C186" s="82"/>
      <c r="D186" s="83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2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ht="12.75" customHeight="1">
      <c r="A187" s="82"/>
      <c r="B187" s="82"/>
      <c r="C187" s="82"/>
      <c r="D187" s="83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2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ht="12.75" customHeight="1">
      <c r="A188" s="82"/>
      <c r="B188" s="82"/>
      <c r="C188" s="82"/>
      <c r="D188" s="83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2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 ht="12.75" customHeight="1">
      <c r="A189" s="82"/>
      <c r="B189" s="82"/>
      <c r="C189" s="82"/>
      <c r="D189" s="83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2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ht="12.75" customHeight="1">
      <c r="A190" s="82"/>
      <c r="B190" s="82"/>
      <c r="C190" s="82"/>
      <c r="D190" s="83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2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ht="12.75" customHeight="1">
      <c r="A191" s="82"/>
      <c r="B191" s="82"/>
      <c r="C191" s="82"/>
      <c r="D191" s="83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2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ht="12.75" customHeight="1">
      <c r="A192" s="82"/>
      <c r="B192" s="82"/>
      <c r="C192" s="82"/>
      <c r="D192" s="83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2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ht="12.75" customHeight="1">
      <c r="A193" s="82"/>
      <c r="B193" s="82"/>
      <c r="C193" s="82"/>
      <c r="D193" s="83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2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ht="12.75" customHeight="1">
      <c r="A194" s="82"/>
      <c r="B194" s="82"/>
      <c r="C194" s="82"/>
      <c r="D194" s="83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2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ht="12.75" customHeight="1">
      <c r="A195" s="82"/>
      <c r="B195" s="82"/>
      <c r="C195" s="82"/>
      <c r="D195" s="83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2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 ht="12.75" customHeight="1">
      <c r="A196" s="82"/>
      <c r="B196" s="82"/>
      <c r="C196" s="82"/>
      <c r="D196" s="83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2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ht="12.75" customHeight="1">
      <c r="A197" s="82"/>
      <c r="B197" s="82"/>
      <c r="C197" s="82"/>
      <c r="D197" s="83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2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 ht="12.75" customHeight="1">
      <c r="A198" s="82"/>
      <c r="B198" s="82"/>
      <c r="C198" s="82"/>
      <c r="D198" s="83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2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ht="12.75" customHeight="1">
      <c r="A199" s="82"/>
      <c r="B199" s="82"/>
      <c r="C199" s="82"/>
      <c r="D199" s="83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2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 ht="12.75" customHeight="1">
      <c r="A200" s="82"/>
      <c r="B200" s="82"/>
      <c r="C200" s="82"/>
      <c r="D200" s="83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2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ht="12.75" customHeight="1">
      <c r="A201" s="82"/>
      <c r="B201" s="82"/>
      <c r="C201" s="82"/>
      <c r="D201" s="83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2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 ht="12.75" customHeight="1">
      <c r="A202" s="82"/>
      <c r="B202" s="82"/>
      <c r="C202" s="82"/>
      <c r="D202" s="83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2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 ht="12.75" customHeight="1">
      <c r="A203" s="82"/>
      <c r="B203" s="82"/>
      <c r="C203" s="82"/>
      <c r="D203" s="83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2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 ht="12.75" customHeight="1">
      <c r="A204" s="82"/>
      <c r="B204" s="82"/>
      <c r="C204" s="82"/>
      <c r="D204" s="83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2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 ht="12.75" customHeight="1">
      <c r="A205" s="82"/>
      <c r="B205" s="82"/>
      <c r="C205" s="82"/>
      <c r="D205" s="83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2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 ht="12.75" customHeight="1">
      <c r="A206" s="82"/>
      <c r="B206" s="82"/>
      <c r="C206" s="82"/>
      <c r="D206" s="83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2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</row>
    <row r="207" ht="12.75" customHeight="1">
      <c r="A207" s="82"/>
      <c r="B207" s="82"/>
      <c r="C207" s="82"/>
      <c r="D207" s="83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2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</row>
    <row r="208" ht="12.75" customHeight="1">
      <c r="A208" s="82"/>
      <c r="B208" s="82"/>
      <c r="C208" s="82"/>
      <c r="D208" s="83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2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</row>
    <row r="209" ht="12.75" customHeight="1">
      <c r="A209" s="82"/>
      <c r="B209" s="82"/>
      <c r="C209" s="82"/>
      <c r="D209" s="83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2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 ht="12.75" customHeight="1">
      <c r="A210" s="82"/>
      <c r="B210" s="82"/>
      <c r="C210" s="82"/>
      <c r="D210" s="83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2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</row>
    <row r="211" ht="12.75" customHeight="1">
      <c r="A211" s="82"/>
      <c r="B211" s="82"/>
      <c r="C211" s="82"/>
      <c r="D211" s="83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2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ht="12.75" customHeight="1">
      <c r="A212" s="82"/>
      <c r="B212" s="82"/>
      <c r="C212" s="82"/>
      <c r="D212" s="83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2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ht="12.75" customHeight="1">
      <c r="A213" s="82"/>
      <c r="B213" s="82"/>
      <c r="C213" s="82"/>
      <c r="D213" s="83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2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ht="12.75" customHeight="1">
      <c r="A214" s="82"/>
      <c r="B214" s="82"/>
      <c r="C214" s="82"/>
      <c r="D214" s="83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2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 ht="12.75" customHeight="1">
      <c r="A215" s="82"/>
      <c r="B215" s="82"/>
      <c r="C215" s="82"/>
      <c r="D215" s="83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2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</row>
    <row r="216" ht="12.75" customHeight="1">
      <c r="A216" s="82"/>
      <c r="B216" s="82"/>
      <c r="C216" s="82"/>
      <c r="D216" s="83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2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 ht="12.75" customHeight="1">
      <c r="A217" s="82"/>
      <c r="B217" s="82"/>
      <c r="C217" s="82"/>
      <c r="D217" s="83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2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ht="12.75" customHeight="1">
      <c r="A218" s="82"/>
      <c r="B218" s="82"/>
      <c r="C218" s="82"/>
      <c r="D218" s="83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2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 ht="12.75" customHeight="1">
      <c r="A219" s="82"/>
      <c r="B219" s="82"/>
      <c r="C219" s="82"/>
      <c r="D219" s="83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2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ht="12.75" customHeight="1">
      <c r="A220" s="82"/>
      <c r="B220" s="82"/>
      <c r="C220" s="82"/>
      <c r="D220" s="83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2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</row>
    <row r="221" ht="12.75" customHeight="1">
      <c r="A221" s="82"/>
      <c r="B221" s="82"/>
      <c r="C221" s="82"/>
      <c r="D221" s="83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2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 ht="12.75" customHeight="1">
      <c r="A222" s="82"/>
      <c r="B222" s="82"/>
      <c r="C222" s="82"/>
      <c r="D222" s="83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2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 ht="12.75" customHeight="1">
      <c r="A223" s="82"/>
      <c r="B223" s="82"/>
      <c r="C223" s="82"/>
      <c r="D223" s="83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2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ht="12.75" customHeight="1">
      <c r="A224" s="82"/>
      <c r="B224" s="82"/>
      <c r="C224" s="82"/>
      <c r="D224" s="83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2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ht="12.75" customHeight="1">
      <c r="A225" s="82"/>
      <c r="B225" s="82"/>
      <c r="C225" s="82"/>
      <c r="D225" s="83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2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ht="12.75" customHeight="1">
      <c r="A226" s="82"/>
      <c r="B226" s="82"/>
      <c r="C226" s="82"/>
      <c r="D226" s="83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2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 ht="12.75" customHeight="1">
      <c r="A227" s="82"/>
      <c r="B227" s="82"/>
      <c r="C227" s="82"/>
      <c r="D227" s="83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2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 ht="12.75" customHeight="1">
      <c r="A228" s="82"/>
      <c r="B228" s="82"/>
      <c r="C228" s="82"/>
      <c r="D228" s="83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2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ht="12.75" customHeight="1">
      <c r="A229" s="82"/>
      <c r="B229" s="82"/>
      <c r="C229" s="82"/>
      <c r="D229" s="83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2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 ht="12.75" customHeight="1">
      <c r="A230" s="82"/>
      <c r="B230" s="82"/>
      <c r="C230" s="82"/>
      <c r="D230" s="83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2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ht="12.75" customHeight="1">
      <c r="A231" s="82"/>
      <c r="B231" s="82"/>
      <c r="C231" s="82"/>
      <c r="D231" s="83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2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ht="12.75" customHeight="1">
      <c r="A232" s="82"/>
      <c r="B232" s="82"/>
      <c r="C232" s="82"/>
      <c r="D232" s="83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2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</row>
    <row r="233" ht="12.75" customHeight="1">
      <c r="A233" s="82"/>
      <c r="B233" s="82"/>
      <c r="C233" s="82"/>
      <c r="D233" s="83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2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 ht="12.75" customHeight="1">
      <c r="A234" s="82"/>
      <c r="B234" s="82"/>
      <c r="C234" s="82"/>
      <c r="D234" s="83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2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</row>
    <row r="235" ht="12.75" customHeight="1">
      <c r="A235" s="82"/>
      <c r="B235" s="82"/>
      <c r="C235" s="82"/>
      <c r="D235" s="83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2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</row>
    <row r="236" ht="12.75" customHeight="1">
      <c r="A236" s="82"/>
      <c r="B236" s="82"/>
      <c r="C236" s="82"/>
      <c r="D236" s="83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2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</row>
    <row r="237" ht="12.75" customHeight="1">
      <c r="A237" s="82"/>
      <c r="B237" s="82"/>
      <c r="C237" s="82"/>
      <c r="D237" s="83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2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 ht="12.75" customHeight="1">
      <c r="A238" s="82"/>
      <c r="B238" s="82"/>
      <c r="C238" s="82"/>
      <c r="D238" s="83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2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 ht="12.75" customHeight="1">
      <c r="A239" s="82"/>
      <c r="B239" s="82"/>
      <c r="C239" s="82"/>
      <c r="D239" s="83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2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</row>
    <row r="240" ht="12.75" customHeight="1">
      <c r="A240" s="82"/>
      <c r="B240" s="82"/>
      <c r="C240" s="82"/>
      <c r="D240" s="83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2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</row>
    <row r="241" ht="12.75" customHeight="1">
      <c r="A241" s="82"/>
      <c r="B241" s="82"/>
      <c r="C241" s="82"/>
      <c r="D241" s="83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2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 ht="12.75" customHeight="1">
      <c r="A242" s="82"/>
      <c r="B242" s="82"/>
      <c r="C242" s="82"/>
      <c r="D242" s="83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2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 ht="12.75" customHeight="1">
      <c r="A243" s="82"/>
      <c r="B243" s="82"/>
      <c r="C243" s="82"/>
      <c r="D243" s="83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2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 ht="12.75" customHeight="1">
      <c r="A244" s="82"/>
      <c r="B244" s="82"/>
      <c r="C244" s="82"/>
      <c r="D244" s="83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2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 ht="12.75" customHeight="1">
      <c r="A245" s="82"/>
      <c r="B245" s="82"/>
      <c r="C245" s="82"/>
      <c r="D245" s="83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2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ht="12.75" customHeight="1">
      <c r="A246" s="82"/>
      <c r="B246" s="82"/>
      <c r="C246" s="82"/>
      <c r="D246" s="83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2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ht="12.75" customHeight="1">
      <c r="A247" s="82"/>
      <c r="B247" s="82"/>
      <c r="C247" s="82"/>
      <c r="D247" s="83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2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ht="12.75" customHeight="1">
      <c r="A248" s="82"/>
      <c r="B248" s="82"/>
      <c r="C248" s="82"/>
      <c r="D248" s="83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2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ht="12.75" customHeight="1">
      <c r="A249" s="82"/>
      <c r="B249" s="82"/>
      <c r="C249" s="82"/>
      <c r="D249" s="83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2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ht="12.75" customHeight="1">
      <c r="A250" s="82"/>
      <c r="B250" s="82"/>
      <c r="C250" s="82"/>
      <c r="D250" s="83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2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ht="12.75" customHeight="1">
      <c r="A251" s="82"/>
      <c r="B251" s="82"/>
      <c r="C251" s="82"/>
      <c r="D251" s="83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2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ht="12.75" customHeight="1">
      <c r="A252" s="82"/>
      <c r="B252" s="82"/>
      <c r="C252" s="82"/>
      <c r="D252" s="83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2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ht="12.75" customHeight="1">
      <c r="A253" s="82"/>
      <c r="B253" s="82"/>
      <c r="C253" s="82"/>
      <c r="D253" s="83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2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ht="12.75" customHeight="1">
      <c r="A254" s="82"/>
      <c r="B254" s="82"/>
      <c r="C254" s="82"/>
      <c r="D254" s="83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2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 ht="12.75" customHeight="1">
      <c r="A255" s="82"/>
      <c r="B255" s="82"/>
      <c r="C255" s="82"/>
      <c r="D255" s="83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2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ht="12.75" customHeight="1">
      <c r="A256" s="82"/>
      <c r="B256" s="82"/>
      <c r="C256" s="82"/>
      <c r="D256" s="83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2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 ht="12.75" customHeight="1">
      <c r="A257" s="82"/>
      <c r="B257" s="82"/>
      <c r="C257" s="82"/>
      <c r="D257" s="83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2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</row>
    <row r="258" ht="12.75" customHeight="1">
      <c r="A258" s="82"/>
      <c r="B258" s="82"/>
      <c r="C258" s="82"/>
      <c r="D258" s="83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2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 ht="12.75" customHeight="1">
      <c r="A259" s="82"/>
      <c r="B259" s="82"/>
      <c r="C259" s="82"/>
      <c r="D259" s="83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2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</row>
    <row r="260" ht="12.75" customHeight="1">
      <c r="A260" s="82"/>
      <c r="B260" s="82"/>
      <c r="C260" s="82"/>
      <c r="D260" s="83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2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</row>
    <row r="261" ht="12.75" customHeight="1">
      <c r="A261" s="82"/>
      <c r="B261" s="82"/>
      <c r="C261" s="82"/>
      <c r="D261" s="83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2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</row>
    <row r="262" ht="12.75" customHeight="1">
      <c r="A262" s="82"/>
      <c r="B262" s="82"/>
      <c r="C262" s="82"/>
      <c r="D262" s="83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2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ht="12.75" customHeight="1">
      <c r="A263" s="82"/>
      <c r="B263" s="82"/>
      <c r="C263" s="82"/>
      <c r="D263" s="83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2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</row>
    <row r="264" ht="12.75" customHeight="1">
      <c r="A264" s="82"/>
      <c r="B264" s="82"/>
      <c r="C264" s="82"/>
      <c r="D264" s="83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2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</row>
    <row r="265" ht="12.75" customHeight="1">
      <c r="A265" s="82"/>
      <c r="B265" s="82"/>
      <c r="C265" s="82"/>
      <c r="D265" s="83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2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</row>
    <row r="266" ht="12.75" customHeight="1">
      <c r="A266" s="82"/>
      <c r="B266" s="82"/>
      <c r="C266" s="82"/>
      <c r="D266" s="83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2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</row>
    <row r="267" ht="12.75" customHeight="1">
      <c r="A267" s="82"/>
      <c r="B267" s="82"/>
      <c r="C267" s="82"/>
      <c r="D267" s="83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2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</row>
    <row r="268" ht="12.75" customHeight="1">
      <c r="A268" s="82"/>
      <c r="B268" s="82"/>
      <c r="C268" s="82"/>
      <c r="D268" s="83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2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ht="12.75" customHeight="1">
      <c r="A269" s="82"/>
      <c r="B269" s="82"/>
      <c r="C269" s="82"/>
      <c r="D269" s="83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2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ht="12.75" customHeight="1">
      <c r="A270" s="82"/>
      <c r="B270" s="82"/>
      <c r="C270" s="82"/>
      <c r="D270" s="83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2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</row>
    <row r="271" ht="12.75" customHeight="1">
      <c r="A271" s="82"/>
      <c r="B271" s="82"/>
      <c r="C271" s="82"/>
      <c r="D271" s="83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2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</row>
    <row r="272" ht="12.75" customHeight="1">
      <c r="A272" s="82"/>
      <c r="B272" s="82"/>
      <c r="C272" s="82"/>
      <c r="D272" s="83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2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ht="12.75" customHeight="1">
      <c r="A273" s="82"/>
      <c r="B273" s="82"/>
      <c r="C273" s="82"/>
      <c r="D273" s="83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2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 ht="12.75" customHeight="1">
      <c r="A274" s="82"/>
      <c r="B274" s="82"/>
      <c r="C274" s="82"/>
      <c r="D274" s="83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2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ht="12.75" customHeight="1">
      <c r="A275" s="82"/>
      <c r="B275" s="82"/>
      <c r="C275" s="82"/>
      <c r="D275" s="83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2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 ht="12.75" customHeight="1">
      <c r="A276" s="82"/>
      <c r="B276" s="82"/>
      <c r="C276" s="82"/>
      <c r="D276" s="83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2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ht="12.75" customHeight="1">
      <c r="A277" s="82"/>
      <c r="B277" s="82"/>
      <c r="C277" s="82"/>
      <c r="D277" s="83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2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 ht="12.75" customHeight="1">
      <c r="A278" s="82"/>
      <c r="B278" s="82"/>
      <c r="C278" s="82"/>
      <c r="D278" s="83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2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ht="12.75" customHeight="1">
      <c r="A279" s="82"/>
      <c r="B279" s="82"/>
      <c r="C279" s="82"/>
      <c r="D279" s="83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2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ht="12.75" customHeight="1">
      <c r="A280" s="82"/>
      <c r="B280" s="82"/>
      <c r="C280" s="82"/>
      <c r="D280" s="83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2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 ht="12.75" customHeight="1">
      <c r="A281" s="82"/>
      <c r="B281" s="82"/>
      <c r="C281" s="82"/>
      <c r="D281" s="83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2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ht="12.75" customHeight="1">
      <c r="A282" s="82"/>
      <c r="B282" s="82"/>
      <c r="C282" s="82"/>
      <c r="D282" s="83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2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</row>
    <row r="283" ht="12.75" customHeight="1">
      <c r="A283" s="82"/>
      <c r="B283" s="82"/>
      <c r="C283" s="82"/>
      <c r="D283" s="83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2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</row>
    <row r="284" ht="12.75" customHeight="1">
      <c r="A284" s="82"/>
      <c r="B284" s="82"/>
      <c r="C284" s="82"/>
      <c r="D284" s="83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2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 ht="12.75" customHeight="1">
      <c r="A285" s="82"/>
      <c r="B285" s="82"/>
      <c r="C285" s="82"/>
      <c r="D285" s="83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2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ht="12.75" customHeight="1">
      <c r="A286" s="82"/>
      <c r="B286" s="82"/>
      <c r="C286" s="82"/>
      <c r="D286" s="83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2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ht="12.75" customHeight="1">
      <c r="A287" s="82"/>
      <c r="B287" s="82"/>
      <c r="C287" s="82"/>
      <c r="D287" s="83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2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ht="12.75" customHeight="1">
      <c r="A288" s="82"/>
      <c r="B288" s="82"/>
      <c r="C288" s="82"/>
      <c r="D288" s="83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2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ht="12.75" customHeight="1">
      <c r="A289" s="82"/>
      <c r="B289" s="82"/>
      <c r="C289" s="82"/>
      <c r="D289" s="83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2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 ht="12.75" customHeight="1">
      <c r="A290" s="82"/>
      <c r="B290" s="82"/>
      <c r="C290" s="82"/>
      <c r="D290" s="83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2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ht="12.75" customHeight="1">
      <c r="A291" s="82"/>
      <c r="B291" s="82"/>
      <c r="C291" s="82"/>
      <c r="D291" s="83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2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</row>
    <row r="292" ht="12.75" customHeight="1">
      <c r="A292" s="82"/>
      <c r="B292" s="82"/>
      <c r="C292" s="82"/>
      <c r="D292" s="83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2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</row>
    <row r="293" ht="12.75" customHeight="1">
      <c r="A293" s="82"/>
      <c r="B293" s="82"/>
      <c r="C293" s="82"/>
      <c r="D293" s="83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2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</row>
    <row r="294" ht="12.75" customHeight="1">
      <c r="A294" s="82"/>
      <c r="B294" s="82"/>
      <c r="C294" s="82"/>
      <c r="D294" s="83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2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 ht="12.75" customHeight="1">
      <c r="A295" s="82"/>
      <c r="B295" s="82"/>
      <c r="C295" s="82"/>
      <c r="D295" s="83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2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 ht="12.75" customHeight="1">
      <c r="A296" s="82"/>
      <c r="B296" s="82"/>
      <c r="C296" s="82"/>
      <c r="D296" s="83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2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 ht="12.75" customHeight="1">
      <c r="A297" s="82"/>
      <c r="B297" s="82"/>
      <c r="C297" s="82"/>
      <c r="D297" s="83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2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</row>
    <row r="298" ht="12.75" customHeight="1">
      <c r="A298" s="82"/>
      <c r="B298" s="82"/>
      <c r="C298" s="82"/>
      <c r="D298" s="83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2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 ht="12.75" customHeight="1">
      <c r="A299" s="82"/>
      <c r="B299" s="82"/>
      <c r="C299" s="82"/>
      <c r="D299" s="83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2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</row>
    <row r="300" ht="12.75" customHeight="1">
      <c r="A300" s="82"/>
      <c r="B300" s="82"/>
      <c r="C300" s="82"/>
      <c r="D300" s="83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2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 ht="12.75" customHeight="1">
      <c r="A301" s="82"/>
      <c r="B301" s="82"/>
      <c r="C301" s="82"/>
      <c r="D301" s="83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2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 ht="12.75" customHeight="1">
      <c r="A302" s="82"/>
      <c r="B302" s="82"/>
      <c r="C302" s="82"/>
      <c r="D302" s="83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2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 ht="12.75" customHeight="1">
      <c r="A303" s="82"/>
      <c r="B303" s="82"/>
      <c r="C303" s="82"/>
      <c r="D303" s="83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2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</row>
    <row r="304" ht="12.75" customHeight="1">
      <c r="A304" s="82"/>
      <c r="B304" s="82"/>
      <c r="C304" s="82"/>
      <c r="D304" s="83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2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</row>
    <row r="305" ht="12.75" customHeight="1">
      <c r="A305" s="82"/>
      <c r="B305" s="82"/>
      <c r="C305" s="82"/>
      <c r="D305" s="83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2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</row>
    <row r="306" ht="12.75" customHeight="1">
      <c r="A306" s="82"/>
      <c r="B306" s="82"/>
      <c r="C306" s="82"/>
      <c r="D306" s="83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2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 ht="12.75" customHeight="1">
      <c r="A307" s="82"/>
      <c r="B307" s="82"/>
      <c r="C307" s="82"/>
      <c r="D307" s="83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2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</row>
    <row r="308" ht="12.75" customHeight="1">
      <c r="A308" s="82"/>
      <c r="B308" s="82"/>
      <c r="C308" s="82"/>
      <c r="D308" s="83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2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</row>
    <row r="309" ht="12.75" customHeight="1">
      <c r="A309" s="82"/>
      <c r="B309" s="82"/>
      <c r="C309" s="82"/>
      <c r="D309" s="83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2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</row>
    <row r="310" ht="12.75" customHeight="1">
      <c r="A310" s="82"/>
      <c r="B310" s="82"/>
      <c r="C310" s="82"/>
      <c r="D310" s="83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2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</row>
    <row r="311" ht="12.75" customHeight="1">
      <c r="A311" s="82"/>
      <c r="B311" s="82"/>
      <c r="C311" s="82"/>
      <c r="D311" s="83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2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</row>
    <row r="312" ht="12.75" customHeight="1">
      <c r="A312" s="82"/>
      <c r="B312" s="82"/>
      <c r="C312" s="82"/>
      <c r="D312" s="83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2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</row>
    <row r="313" ht="12.75" customHeight="1">
      <c r="A313" s="82"/>
      <c r="B313" s="82"/>
      <c r="C313" s="82"/>
      <c r="D313" s="83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2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</row>
    <row r="314" ht="12.75" customHeight="1">
      <c r="A314" s="82"/>
      <c r="B314" s="82"/>
      <c r="C314" s="82"/>
      <c r="D314" s="83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2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</row>
    <row r="315" ht="12.75" customHeight="1">
      <c r="A315" s="82"/>
      <c r="B315" s="82"/>
      <c r="C315" s="82"/>
      <c r="D315" s="83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2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</row>
    <row r="316" ht="12.75" customHeight="1">
      <c r="A316" s="82"/>
      <c r="B316" s="82"/>
      <c r="C316" s="82"/>
      <c r="D316" s="83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2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</row>
    <row r="317" ht="12.75" customHeight="1">
      <c r="A317" s="82"/>
      <c r="B317" s="82"/>
      <c r="C317" s="82"/>
      <c r="D317" s="83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2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ht="12.75" customHeight="1">
      <c r="A318" s="82"/>
      <c r="B318" s="82"/>
      <c r="C318" s="82"/>
      <c r="D318" s="83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2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</row>
    <row r="319" ht="12.75" customHeight="1">
      <c r="A319" s="82"/>
      <c r="B319" s="82"/>
      <c r="C319" s="82"/>
      <c r="D319" s="83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2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ht="12.75" customHeight="1">
      <c r="A320" s="82"/>
      <c r="B320" s="82"/>
      <c r="C320" s="82"/>
      <c r="D320" s="83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2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</row>
    <row r="321" ht="12.75" customHeight="1">
      <c r="A321" s="82"/>
      <c r="B321" s="82"/>
      <c r="C321" s="82"/>
      <c r="D321" s="83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2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</row>
    <row r="322" ht="12.75" customHeight="1">
      <c r="A322" s="82"/>
      <c r="B322" s="82"/>
      <c r="C322" s="82"/>
      <c r="D322" s="83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2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</row>
    <row r="323" ht="12.75" customHeight="1">
      <c r="A323" s="82"/>
      <c r="B323" s="82"/>
      <c r="C323" s="82"/>
      <c r="D323" s="83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2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</row>
    <row r="324" ht="12.75" customHeight="1">
      <c r="A324" s="82"/>
      <c r="B324" s="82"/>
      <c r="C324" s="82"/>
      <c r="D324" s="83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2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</row>
    <row r="325" ht="12.75" customHeight="1">
      <c r="A325" s="82"/>
      <c r="B325" s="82"/>
      <c r="C325" s="82"/>
      <c r="D325" s="83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2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 ht="12.75" customHeight="1">
      <c r="A326" s="82"/>
      <c r="B326" s="82"/>
      <c r="C326" s="82"/>
      <c r="D326" s="83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2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 ht="12.75" customHeight="1">
      <c r="A327" s="82"/>
      <c r="B327" s="82"/>
      <c r="C327" s="82"/>
      <c r="D327" s="83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2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</row>
    <row r="328" ht="12.75" customHeight="1">
      <c r="A328" s="82"/>
      <c r="B328" s="82"/>
      <c r="C328" s="82"/>
      <c r="D328" s="83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2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</row>
    <row r="329" ht="12.75" customHeight="1">
      <c r="A329" s="82"/>
      <c r="B329" s="82"/>
      <c r="C329" s="82"/>
      <c r="D329" s="83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2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</row>
    <row r="330" ht="12.75" customHeight="1">
      <c r="A330" s="82"/>
      <c r="B330" s="82"/>
      <c r="C330" s="82"/>
      <c r="D330" s="83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2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</row>
    <row r="331" ht="12.75" customHeight="1">
      <c r="A331" s="82"/>
      <c r="B331" s="82"/>
      <c r="C331" s="82"/>
      <c r="D331" s="83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2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</row>
    <row r="332" ht="12.75" customHeight="1">
      <c r="A332" s="82"/>
      <c r="B332" s="82"/>
      <c r="C332" s="82"/>
      <c r="D332" s="83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2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</row>
    <row r="333" ht="12.75" customHeight="1">
      <c r="A333" s="82"/>
      <c r="B333" s="82"/>
      <c r="C333" s="82"/>
      <c r="D333" s="83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2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</row>
    <row r="334" ht="12.75" customHeight="1">
      <c r="A334" s="82"/>
      <c r="B334" s="82"/>
      <c r="C334" s="82"/>
      <c r="D334" s="83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2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</row>
    <row r="335" ht="12.75" customHeight="1">
      <c r="A335" s="82"/>
      <c r="B335" s="82"/>
      <c r="C335" s="82"/>
      <c r="D335" s="83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2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</row>
    <row r="336" ht="12.75" customHeight="1">
      <c r="A336" s="82"/>
      <c r="B336" s="82"/>
      <c r="C336" s="82"/>
      <c r="D336" s="83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2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</row>
    <row r="337" ht="12.75" customHeight="1">
      <c r="A337" s="82"/>
      <c r="B337" s="82"/>
      <c r="C337" s="82"/>
      <c r="D337" s="83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2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</row>
    <row r="338" ht="12.75" customHeight="1">
      <c r="A338" s="82"/>
      <c r="B338" s="82"/>
      <c r="C338" s="82"/>
      <c r="D338" s="83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2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</row>
    <row r="339" ht="12.75" customHeight="1">
      <c r="A339" s="82"/>
      <c r="B339" s="82"/>
      <c r="C339" s="82"/>
      <c r="D339" s="83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2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</row>
    <row r="340" ht="12.75" customHeight="1">
      <c r="A340" s="82"/>
      <c r="B340" s="82"/>
      <c r="C340" s="82"/>
      <c r="D340" s="83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2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</row>
    <row r="341" ht="12.75" customHeight="1">
      <c r="A341" s="82"/>
      <c r="B341" s="82"/>
      <c r="C341" s="82"/>
      <c r="D341" s="83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2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</row>
    <row r="342" ht="12.75" customHeight="1">
      <c r="A342" s="82"/>
      <c r="B342" s="82"/>
      <c r="C342" s="82"/>
      <c r="D342" s="83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2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</row>
    <row r="343" ht="12.75" customHeight="1">
      <c r="A343" s="82"/>
      <c r="B343" s="82"/>
      <c r="C343" s="82"/>
      <c r="D343" s="83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2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</row>
    <row r="344" ht="12.75" customHeight="1">
      <c r="A344" s="82"/>
      <c r="B344" s="82"/>
      <c r="C344" s="82"/>
      <c r="D344" s="83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2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</row>
    <row r="345" ht="12.75" customHeight="1">
      <c r="A345" s="82"/>
      <c r="B345" s="82"/>
      <c r="C345" s="82"/>
      <c r="D345" s="83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2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</row>
    <row r="346" ht="12.75" customHeight="1">
      <c r="A346" s="82"/>
      <c r="B346" s="82"/>
      <c r="C346" s="82"/>
      <c r="D346" s="83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2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</row>
    <row r="347" ht="12.75" customHeight="1">
      <c r="A347" s="82"/>
      <c r="B347" s="82"/>
      <c r="C347" s="82"/>
      <c r="D347" s="83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2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</row>
    <row r="348" ht="12.75" customHeight="1">
      <c r="A348" s="82"/>
      <c r="B348" s="82"/>
      <c r="C348" s="82"/>
      <c r="D348" s="83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2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</row>
    <row r="349" ht="12.75" customHeight="1">
      <c r="A349" s="82"/>
      <c r="B349" s="82"/>
      <c r="C349" s="82"/>
      <c r="D349" s="83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2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</row>
    <row r="350" ht="12.75" customHeight="1">
      <c r="A350" s="82"/>
      <c r="B350" s="82"/>
      <c r="C350" s="82"/>
      <c r="D350" s="83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2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</row>
    <row r="351" ht="12.75" customHeight="1">
      <c r="A351" s="82"/>
      <c r="B351" s="82"/>
      <c r="C351" s="82"/>
      <c r="D351" s="83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2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</row>
    <row r="352" ht="12.75" customHeight="1">
      <c r="A352" s="82"/>
      <c r="B352" s="82"/>
      <c r="C352" s="82"/>
      <c r="D352" s="83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2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</row>
    <row r="353" ht="12.75" customHeight="1">
      <c r="A353" s="82"/>
      <c r="B353" s="82"/>
      <c r="C353" s="82"/>
      <c r="D353" s="83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2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</row>
    <row r="354" ht="12.75" customHeight="1">
      <c r="A354" s="82"/>
      <c r="B354" s="82"/>
      <c r="C354" s="82"/>
      <c r="D354" s="83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2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</row>
    <row r="355" ht="12.75" customHeight="1">
      <c r="A355" s="82"/>
      <c r="B355" s="82"/>
      <c r="C355" s="82"/>
      <c r="D355" s="83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2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</row>
    <row r="356" ht="12.75" customHeight="1">
      <c r="A356" s="82"/>
      <c r="B356" s="82"/>
      <c r="C356" s="82"/>
      <c r="D356" s="83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2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</row>
    <row r="357" ht="12.75" customHeight="1">
      <c r="A357" s="82"/>
      <c r="B357" s="82"/>
      <c r="C357" s="82"/>
      <c r="D357" s="83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2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</row>
    <row r="358" ht="12.75" customHeight="1">
      <c r="A358" s="82"/>
      <c r="B358" s="82"/>
      <c r="C358" s="82"/>
      <c r="D358" s="83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2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</row>
    <row r="359" ht="12.75" customHeight="1">
      <c r="A359" s="82"/>
      <c r="B359" s="82"/>
      <c r="C359" s="82"/>
      <c r="D359" s="83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2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</row>
    <row r="360" ht="12.75" customHeight="1">
      <c r="A360" s="82"/>
      <c r="B360" s="82"/>
      <c r="C360" s="82"/>
      <c r="D360" s="83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2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</row>
    <row r="361" ht="12.75" customHeight="1">
      <c r="A361" s="82"/>
      <c r="B361" s="82"/>
      <c r="C361" s="82"/>
      <c r="D361" s="83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2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</row>
    <row r="362" ht="12.75" customHeight="1">
      <c r="A362" s="82"/>
      <c r="B362" s="82"/>
      <c r="C362" s="82"/>
      <c r="D362" s="83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2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</row>
    <row r="363" ht="12.75" customHeight="1">
      <c r="A363" s="82"/>
      <c r="B363" s="82"/>
      <c r="C363" s="82"/>
      <c r="D363" s="83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2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 ht="12.75" customHeight="1">
      <c r="A364" s="82"/>
      <c r="B364" s="82"/>
      <c r="C364" s="82"/>
      <c r="D364" s="83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2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 ht="12.75" customHeight="1">
      <c r="A365" s="82"/>
      <c r="B365" s="82"/>
      <c r="C365" s="82"/>
      <c r="D365" s="83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2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</row>
    <row r="366" ht="12.75" customHeight="1">
      <c r="A366" s="82"/>
      <c r="B366" s="82"/>
      <c r="C366" s="82"/>
      <c r="D366" s="83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2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</row>
    <row r="367" ht="12.75" customHeight="1">
      <c r="A367" s="82"/>
      <c r="B367" s="82"/>
      <c r="C367" s="82"/>
      <c r="D367" s="83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2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</row>
    <row r="368" ht="12.75" customHeight="1">
      <c r="A368" s="82"/>
      <c r="B368" s="82"/>
      <c r="C368" s="82"/>
      <c r="D368" s="83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2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</row>
    <row r="369" ht="12.75" customHeight="1">
      <c r="A369" s="82"/>
      <c r="B369" s="82"/>
      <c r="C369" s="82"/>
      <c r="D369" s="83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2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</row>
    <row r="370" ht="12.75" customHeight="1">
      <c r="A370" s="82"/>
      <c r="B370" s="82"/>
      <c r="C370" s="82"/>
      <c r="D370" s="83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2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</row>
    <row r="371" ht="12.75" customHeight="1">
      <c r="A371" s="82"/>
      <c r="B371" s="82"/>
      <c r="C371" s="82"/>
      <c r="D371" s="83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2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</row>
    <row r="372" ht="12.75" customHeight="1">
      <c r="A372" s="82"/>
      <c r="B372" s="82"/>
      <c r="C372" s="82"/>
      <c r="D372" s="83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2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</row>
    <row r="373" ht="12.75" customHeight="1">
      <c r="A373" s="82"/>
      <c r="B373" s="82"/>
      <c r="C373" s="82"/>
      <c r="D373" s="83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2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</row>
    <row r="374" ht="12.75" customHeight="1">
      <c r="A374" s="82"/>
      <c r="B374" s="82"/>
      <c r="C374" s="82"/>
      <c r="D374" s="83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2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</row>
    <row r="375" ht="12.75" customHeight="1">
      <c r="A375" s="82"/>
      <c r="B375" s="82"/>
      <c r="C375" s="82"/>
      <c r="D375" s="83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2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</row>
    <row r="376" ht="12.75" customHeight="1">
      <c r="A376" s="82"/>
      <c r="B376" s="82"/>
      <c r="C376" s="82"/>
      <c r="D376" s="83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2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</row>
    <row r="377" ht="12.75" customHeight="1">
      <c r="A377" s="82"/>
      <c r="B377" s="82"/>
      <c r="C377" s="82"/>
      <c r="D377" s="83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2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</row>
    <row r="378" ht="12.75" customHeight="1">
      <c r="A378" s="82"/>
      <c r="B378" s="82"/>
      <c r="C378" s="82"/>
      <c r="D378" s="83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2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ht="12.75" customHeight="1">
      <c r="A379" s="82"/>
      <c r="B379" s="82"/>
      <c r="C379" s="82"/>
      <c r="D379" s="83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2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</row>
    <row r="380" ht="12.75" customHeight="1">
      <c r="A380" s="82"/>
      <c r="B380" s="82"/>
      <c r="C380" s="82"/>
      <c r="D380" s="83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2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</row>
    <row r="381" ht="12.75" customHeight="1">
      <c r="A381" s="82"/>
      <c r="B381" s="82"/>
      <c r="C381" s="82"/>
      <c r="D381" s="83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2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</row>
    <row r="382" ht="12.75" customHeight="1">
      <c r="A382" s="82"/>
      <c r="B382" s="82"/>
      <c r="C382" s="82"/>
      <c r="D382" s="83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2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 ht="12.75" customHeight="1">
      <c r="A383" s="82"/>
      <c r="B383" s="82"/>
      <c r="C383" s="82"/>
      <c r="D383" s="83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2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ht="12.75" customHeight="1">
      <c r="A384" s="82"/>
      <c r="B384" s="82"/>
      <c r="C384" s="82"/>
      <c r="D384" s="83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2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</row>
    <row r="385" ht="12.75" customHeight="1">
      <c r="A385" s="82"/>
      <c r="B385" s="82"/>
      <c r="C385" s="82"/>
      <c r="D385" s="83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2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</row>
    <row r="386" ht="12.75" customHeight="1">
      <c r="A386" s="82"/>
      <c r="B386" s="82"/>
      <c r="C386" s="82"/>
      <c r="D386" s="83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2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</row>
    <row r="387" ht="12.75" customHeight="1">
      <c r="A387" s="82"/>
      <c r="B387" s="82"/>
      <c r="C387" s="82"/>
      <c r="D387" s="83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2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</row>
    <row r="388" ht="12.75" customHeight="1">
      <c r="A388" s="82"/>
      <c r="B388" s="82"/>
      <c r="C388" s="82"/>
      <c r="D388" s="83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2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</row>
    <row r="389" ht="12.75" customHeight="1">
      <c r="A389" s="82"/>
      <c r="B389" s="82"/>
      <c r="C389" s="82"/>
      <c r="D389" s="83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2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</row>
    <row r="390" ht="12.75" customHeight="1">
      <c r="A390" s="82"/>
      <c r="B390" s="82"/>
      <c r="C390" s="82"/>
      <c r="D390" s="83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2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</row>
    <row r="391" ht="12.75" customHeight="1">
      <c r="A391" s="82"/>
      <c r="B391" s="82"/>
      <c r="C391" s="82"/>
      <c r="D391" s="83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2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</row>
    <row r="392" ht="12.75" customHeight="1">
      <c r="A392" s="82"/>
      <c r="B392" s="82"/>
      <c r="C392" s="82"/>
      <c r="D392" s="83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2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</row>
    <row r="393" ht="12.75" customHeight="1">
      <c r="A393" s="82"/>
      <c r="B393" s="82"/>
      <c r="C393" s="82"/>
      <c r="D393" s="83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2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</row>
    <row r="394" ht="12.75" customHeight="1">
      <c r="A394" s="82"/>
      <c r="B394" s="82"/>
      <c r="C394" s="82"/>
      <c r="D394" s="83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2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</row>
    <row r="395" ht="12.75" customHeight="1">
      <c r="A395" s="82"/>
      <c r="B395" s="82"/>
      <c r="C395" s="82"/>
      <c r="D395" s="83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2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</row>
    <row r="396" ht="12.75" customHeight="1">
      <c r="A396" s="82"/>
      <c r="B396" s="82"/>
      <c r="C396" s="82"/>
      <c r="D396" s="83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2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</row>
    <row r="397" ht="12.75" customHeight="1">
      <c r="A397" s="82"/>
      <c r="B397" s="82"/>
      <c r="C397" s="82"/>
      <c r="D397" s="83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2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</row>
    <row r="398" ht="12.75" customHeight="1">
      <c r="A398" s="82"/>
      <c r="B398" s="82"/>
      <c r="C398" s="82"/>
      <c r="D398" s="83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2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</row>
    <row r="399" ht="12.75" customHeight="1">
      <c r="A399" s="82"/>
      <c r="B399" s="82"/>
      <c r="C399" s="82"/>
      <c r="D399" s="83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2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</row>
    <row r="400" ht="12.75" customHeight="1">
      <c r="A400" s="82"/>
      <c r="B400" s="82"/>
      <c r="C400" s="82"/>
      <c r="D400" s="83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2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</row>
    <row r="401" ht="12.75" customHeight="1">
      <c r="A401" s="82"/>
      <c r="B401" s="82"/>
      <c r="C401" s="82"/>
      <c r="D401" s="83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2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</row>
    <row r="402" ht="12.75" customHeight="1">
      <c r="A402" s="82"/>
      <c r="B402" s="82"/>
      <c r="C402" s="82"/>
      <c r="D402" s="83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2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</row>
    <row r="403" ht="12.75" customHeight="1">
      <c r="A403" s="82"/>
      <c r="B403" s="82"/>
      <c r="C403" s="82"/>
      <c r="D403" s="83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2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</row>
    <row r="404" ht="12.75" customHeight="1">
      <c r="A404" s="82"/>
      <c r="B404" s="82"/>
      <c r="C404" s="82"/>
      <c r="D404" s="83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2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</row>
    <row r="405" ht="12.75" customHeight="1">
      <c r="A405" s="82"/>
      <c r="B405" s="82"/>
      <c r="C405" s="82"/>
      <c r="D405" s="83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2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</row>
    <row r="406" ht="12.75" customHeight="1">
      <c r="A406" s="82"/>
      <c r="B406" s="82"/>
      <c r="C406" s="82"/>
      <c r="D406" s="83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2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</row>
    <row r="407" ht="12.75" customHeight="1">
      <c r="A407" s="82"/>
      <c r="B407" s="82"/>
      <c r="C407" s="82"/>
      <c r="D407" s="83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2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</row>
    <row r="408" ht="12.75" customHeight="1">
      <c r="A408" s="82"/>
      <c r="B408" s="82"/>
      <c r="C408" s="82"/>
      <c r="D408" s="83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2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</row>
    <row r="409" ht="12.75" customHeight="1">
      <c r="A409" s="82"/>
      <c r="B409" s="82"/>
      <c r="C409" s="82"/>
      <c r="D409" s="83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2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</row>
    <row r="410" ht="12.75" customHeight="1">
      <c r="A410" s="82"/>
      <c r="B410" s="82"/>
      <c r="C410" s="82"/>
      <c r="D410" s="83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2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</row>
    <row r="411" ht="12.75" customHeight="1">
      <c r="A411" s="82"/>
      <c r="B411" s="82"/>
      <c r="C411" s="82"/>
      <c r="D411" s="83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2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</row>
    <row r="412" ht="12.75" customHeight="1">
      <c r="A412" s="82"/>
      <c r="B412" s="82"/>
      <c r="C412" s="82"/>
      <c r="D412" s="83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2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</row>
    <row r="413" ht="12.75" customHeight="1">
      <c r="A413" s="82"/>
      <c r="B413" s="82"/>
      <c r="C413" s="82"/>
      <c r="D413" s="83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2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ht="12.75" customHeight="1">
      <c r="A414" s="82"/>
      <c r="B414" s="82"/>
      <c r="C414" s="82"/>
      <c r="D414" s="83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2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</row>
    <row r="415" ht="12.75" customHeight="1">
      <c r="A415" s="82"/>
      <c r="B415" s="82"/>
      <c r="C415" s="82"/>
      <c r="D415" s="83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2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</row>
    <row r="416" ht="12.75" customHeight="1">
      <c r="A416" s="82"/>
      <c r="B416" s="82"/>
      <c r="C416" s="82"/>
      <c r="D416" s="83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2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</row>
    <row r="417" ht="12.75" customHeight="1">
      <c r="A417" s="82"/>
      <c r="B417" s="82"/>
      <c r="C417" s="82"/>
      <c r="D417" s="83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2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ht="12.75" customHeight="1">
      <c r="A418" s="82"/>
      <c r="B418" s="82"/>
      <c r="C418" s="82"/>
      <c r="D418" s="83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2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ht="12.75" customHeight="1">
      <c r="A419" s="82"/>
      <c r="B419" s="82"/>
      <c r="C419" s="82"/>
      <c r="D419" s="83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2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</row>
    <row r="420" ht="12.75" customHeight="1">
      <c r="A420" s="82"/>
      <c r="B420" s="82"/>
      <c r="C420" s="82"/>
      <c r="D420" s="83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2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</row>
    <row r="421" ht="12.75" customHeight="1">
      <c r="A421" s="82"/>
      <c r="B421" s="82"/>
      <c r="C421" s="82"/>
      <c r="D421" s="83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2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</row>
    <row r="422" ht="12.75" customHeight="1">
      <c r="A422" s="82"/>
      <c r="B422" s="82"/>
      <c r="C422" s="82"/>
      <c r="D422" s="83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2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</row>
    <row r="423" ht="12.75" customHeight="1">
      <c r="A423" s="82"/>
      <c r="B423" s="82"/>
      <c r="C423" s="82"/>
      <c r="D423" s="83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2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</row>
    <row r="424" ht="12.75" customHeight="1">
      <c r="A424" s="82"/>
      <c r="B424" s="82"/>
      <c r="C424" s="82"/>
      <c r="D424" s="83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2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</row>
    <row r="425" ht="12.75" customHeight="1">
      <c r="A425" s="82"/>
      <c r="B425" s="82"/>
      <c r="C425" s="82"/>
      <c r="D425" s="83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2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</row>
    <row r="426" ht="12.75" customHeight="1">
      <c r="A426" s="82"/>
      <c r="B426" s="82"/>
      <c r="C426" s="82"/>
      <c r="D426" s="83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2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</row>
    <row r="427" ht="12.75" customHeight="1">
      <c r="A427" s="82"/>
      <c r="B427" s="82"/>
      <c r="C427" s="82"/>
      <c r="D427" s="83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2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</row>
    <row r="428" ht="12.75" customHeight="1">
      <c r="A428" s="82"/>
      <c r="B428" s="82"/>
      <c r="C428" s="82"/>
      <c r="D428" s="83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2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</row>
    <row r="429" ht="12.75" customHeight="1">
      <c r="A429" s="82"/>
      <c r="B429" s="82"/>
      <c r="C429" s="82"/>
      <c r="D429" s="83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2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</row>
    <row r="430" ht="12.75" customHeight="1">
      <c r="A430" s="82"/>
      <c r="B430" s="82"/>
      <c r="C430" s="82"/>
      <c r="D430" s="83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2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</row>
    <row r="431" ht="12.75" customHeight="1">
      <c r="A431" s="82"/>
      <c r="B431" s="82"/>
      <c r="C431" s="82"/>
      <c r="D431" s="83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2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</row>
    <row r="432" ht="12.75" customHeight="1">
      <c r="A432" s="82"/>
      <c r="B432" s="82"/>
      <c r="C432" s="82"/>
      <c r="D432" s="83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2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</row>
    <row r="433" ht="12.75" customHeight="1">
      <c r="A433" s="82"/>
      <c r="B433" s="82"/>
      <c r="C433" s="82"/>
      <c r="D433" s="83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2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</row>
    <row r="434" ht="12.75" customHeight="1">
      <c r="A434" s="82"/>
      <c r="B434" s="82"/>
      <c r="C434" s="82"/>
      <c r="D434" s="83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2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</row>
    <row r="435" ht="12.75" customHeight="1">
      <c r="A435" s="82"/>
      <c r="B435" s="82"/>
      <c r="C435" s="82"/>
      <c r="D435" s="83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2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</row>
    <row r="436" ht="12.75" customHeight="1">
      <c r="A436" s="82"/>
      <c r="B436" s="82"/>
      <c r="C436" s="82"/>
      <c r="D436" s="83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2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</row>
    <row r="437" ht="12.75" customHeight="1">
      <c r="A437" s="82"/>
      <c r="B437" s="82"/>
      <c r="C437" s="82"/>
      <c r="D437" s="83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2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</row>
    <row r="438" ht="12.75" customHeight="1">
      <c r="A438" s="82"/>
      <c r="B438" s="82"/>
      <c r="C438" s="82"/>
      <c r="D438" s="83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2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</row>
    <row r="439" ht="12.75" customHeight="1">
      <c r="A439" s="82"/>
      <c r="B439" s="82"/>
      <c r="C439" s="82"/>
      <c r="D439" s="83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2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</row>
    <row r="440" ht="12.75" customHeight="1">
      <c r="A440" s="82"/>
      <c r="B440" s="82"/>
      <c r="C440" s="82"/>
      <c r="D440" s="83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2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ht="12.75" customHeight="1">
      <c r="A441" s="82"/>
      <c r="B441" s="82"/>
      <c r="C441" s="82"/>
      <c r="D441" s="83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2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</row>
    <row r="442" ht="12.75" customHeight="1">
      <c r="A442" s="82"/>
      <c r="B442" s="82"/>
      <c r="C442" s="82"/>
      <c r="D442" s="83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2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</row>
    <row r="443" ht="12.75" customHeight="1">
      <c r="A443" s="82"/>
      <c r="B443" s="82"/>
      <c r="C443" s="82"/>
      <c r="D443" s="83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2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</row>
    <row r="444" ht="12.75" customHeight="1">
      <c r="A444" s="82"/>
      <c r="B444" s="82"/>
      <c r="C444" s="82"/>
      <c r="D444" s="83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2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ht="12.75" customHeight="1">
      <c r="A445" s="82"/>
      <c r="B445" s="82"/>
      <c r="C445" s="82"/>
      <c r="D445" s="83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2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ht="12.75" customHeight="1">
      <c r="A446" s="82"/>
      <c r="B446" s="82"/>
      <c r="C446" s="82"/>
      <c r="D446" s="83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2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</row>
    <row r="447" ht="12.75" customHeight="1">
      <c r="A447" s="82"/>
      <c r="B447" s="82"/>
      <c r="C447" s="82"/>
      <c r="D447" s="83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2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</row>
    <row r="448" ht="12.75" customHeight="1">
      <c r="A448" s="82"/>
      <c r="B448" s="82"/>
      <c r="C448" s="82"/>
      <c r="D448" s="83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2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</row>
    <row r="449" ht="12.75" customHeight="1">
      <c r="A449" s="82"/>
      <c r="B449" s="82"/>
      <c r="C449" s="82"/>
      <c r="D449" s="83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2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</row>
    <row r="450" ht="12.75" customHeight="1">
      <c r="A450" s="82"/>
      <c r="B450" s="82"/>
      <c r="C450" s="82"/>
      <c r="D450" s="83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2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</row>
    <row r="451" ht="12.75" customHeight="1">
      <c r="A451" s="82"/>
      <c r="B451" s="82"/>
      <c r="C451" s="82"/>
      <c r="D451" s="83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2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</row>
    <row r="452" ht="12.75" customHeight="1">
      <c r="A452" s="82"/>
      <c r="B452" s="82"/>
      <c r="C452" s="82"/>
      <c r="D452" s="83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2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</row>
    <row r="453" ht="12.75" customHeight="1">
      <c r="A453" s="82"/>
      <c r="B453" s="82"/>
      <c r="C453" s="82"/>
      <c r="D453" s="83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2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</row>
    <row r="454" ht="12.75" customHeight="1">
      <c r="A454" s="82"/>
      <c r="B454" s="82"/>
      <c r="C454" s="82"/>
      <c r="D454" s="83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2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</row>
    <row r="455" ht="12.75" customHeight="1">
      <c r="A455" s="82"/>
      <c r="B455" s="82"/>
      <c r="C455" s="82"/>
      <c r="D455" s="83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2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</row>
    <row r="456" ht="12.75" customHeight="1">
      <c r="A456" s="82"/>
      <c r="B456" s="82"/>
      <c r="C456" s="82"/>
      <c r="D456" s="83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2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</row>
    <row r="457" ht="12.75" customHeight="1">
      <c r="A457" s="82"/>
      <c r="B457" s="82"/>
      <c r="C457" s="82"/>
      <c r="D457" s="83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2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</row>
    <row r="458" ht="12.75" customHeight="1">
      <c r="A458" s="82"/>
      <c r="B458" s="82"/>
      <c r="C458" s="82"/>
      <c r="D458" s="83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2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</row>
    <row r="459" ht="12.75" customHeight="1">
      <c r="A459" s="82"/>
      <c r="B459" s="82"/>
      <c r="C459" s="82"/>
      <c r="D459" s="83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2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</row>
    <row r="460" ht="12.75" customHeight="1">
      <c r="A460" s="82"/>
      <c r="B460" s="82"/>
      <c r="C460" s="82"/>
      <c r="D460" s="83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2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</row>
    <row r="461" ht="12.75" customHeight="1">
      <c r="A461" s="82"/>
      <c r="B461" s="82"/>
      <c r="C461" s="82"/>
      <c r="D461" s="83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2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</row>
    <row r="462" ht="12.75" customHeight="1">
      <c r="A462" s="82"/>
      <c r="B462" s="82"/>
      <c r="C462" s="82"/>
      <c r="D462" s="83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2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</row>
    <row r="463" ht="12.75" customHeight="1">
      <c r="A463" s="82"/>
      <c r="B463" s="82"/>
      <c r="C463" s="82"/>
      <c r="D463" s="83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2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</row>
    <row r="464" ht="12.75" customHeight="1">
      <c r="A464" s="82"/>
      <c r="B464" s="82"/>
      <c r="C464" s="82"/>
      <c r="D464" s="83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2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</row>
    <row r="465" ht="12.75" customHeight="1">
      <c r="A465" s="82"/>
      <c r="B465" s="82"/>
      <c r="C465" s="82"/>
      <c r="D465" s="83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2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</row>
    <row r="466" ht="12.75" customHeight="1">
      <c r="A466" s="82"/>
      <c r="B466" s="82"/>
      <c r="C466" s="82"/>
      <c r="D466" s="83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2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</row>
    <row r="467" ht="12.75" customHeight="1">
      <c r="A467" s="82"/>
      <c r="B467" s="82"/>
      <c r="C467" s="82"/>
      <c r="D467" s="83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2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</row>
    <row r="468" ht="12.75" customHeight="1">
      <c r="A468" s="82"/>
      <c r="B468" s="82"/>
      <c r="C468" s="82"/>
      <c r="D468" s="83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2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</row>
    <row r="469" ht="12.75" customHeight="1">
      <c r="A469" s="82"/>
      <c r="B469" s="82"/>
      <c r="C469" s="82"/>
      <c r="D469" s="83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2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</row>
    <row r="470" ht="12.75" customHeight="1">
      <c r="A470" s="82"/>
      <c r="B470" s="82"/>
      <c r="C470" s="82"/>
      <c r="D470" s="83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2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</row>
    <row r="471" ht="12.75" customHeight="1">
      <c r="A471" s="82"/>
      <c r="B471" s="82"/>
      <c r="C471" s="82"/>
      <c r="D471" s="83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2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</row>
    <row r="472" ht="12.75" customHeight="1">
      <c r="A472" s="82"/>
      <c r="B472" s="82"/>
      <c r="C472" s="82"/>
      <c r="D472" s="83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2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</row>
    <row r="473" ht="12.75" customHeight="1">
      <c r="A473" s="82"/>
      <c r="B473" s="82"/>
      <c r="C473" s="82"/>
      <c r="D473" s="83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2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</row>
    <row r="474" ht="12.75" customHeight="1">
      <c r="A474" s="82"/>
      <c r="B474" s="82"/>
      <c r="C474" s="82"/>
      <c r="D474" s="83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2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</row>
    <row r="475" ht="12.75" customHeight="1">
      <c r="A475" s="82"/>
      <c r="B475" s="82"/>
      <c r="C475" s="82"/>
      <c r="D475" s="83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2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</row>
    <row r="476" ht="12.75" customHeight="1">
      <c r="A476" s="82"/>
      <c r="B476" s="82"/>
      <c r="C476" s="82"/>
      <c r="D476" s="83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2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</row>
    <row r="477" ht="12.75" customHeight="1">
      <c r="A477" s="82"/>
      <c r="B477" s="82"/>
      <c r="C477" s="82"/>
      <c r="D477" s="83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2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ht="12.75" customHeight="1">
      <c r="A478" s="82"/>
      <c r="B478" s="82"/>
      <c r="C478" s="82"/>
      <c r="D478" s="83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2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</row>
    <row r="479" ht="12.75" customHeight="1">
      <c r="A479" s="82"/>
      <c r="B479" s="82"/>
      <c r="C479" s="82"/>
      <c r="D479" s="83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2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</row>
    <row r="480" ht="12.75" customHeight="1">
      <c r="A480" s="82"/>
      <c r="B480" s="82"/>
      <c r="C480" s="82"/>
      <c r="D480" s="83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2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</row>
    <row r="481" ht="12.75" customHeight="1">
      <c r="A481" s="82"/>
      <c r="B481" s="82"/>
      <c r="C481" s="82"/>
      <c r="D481" s="83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2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</row>
    <row r="482" ht="12.75" customHeight="1">
      <c r="A482" s="82"/>
      <c r="B482" s="82"/>
      <c r="C482" s="82"/>
      <c r="D482" s="83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2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</row>
    <row r="483" ht="12.75" customHeight="1">
      <c r="A483" s="82"/>
      <c r="B483" s="82"/>
      <c r="C483" s="82"/>
      <c r="D483" s="83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2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</row>
    <row r="484" ht="12.75" customHeight="1">
      <c r="A484" s="82"/>
      <c r="B484" s="82"/>
      <c r="C484" s="82"/>
      <c r="D484" s="83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2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</row>
    <row r="485" ht="12.75" customHeight="1">
      <c r="A485" s="82"/>
      <c r="B485" s="82"/>
      <c r="C485" s="82"/>
      <c r="D485" s="83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2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</row>
    <row r="486" ht="12.75" customHeight="1">
      <c r="A486" s="82"/>
      <c r="B486" s="82"/>
      <c r="C486" s="82"/>
      <c r="D486" s="83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2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</row>
    <row r="487" ht="12.75" customHeight="1">
      <c r="A487" s="82"/>
      <c r="B487" s="82"/>
      <c r="C487" s="82"/>
      <c r="D487" s="83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2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</row>
    <row r="488" ht="12.75" customHeight="1">
      <c r="A488" s="82"/>
      <c r="B488" s="82"/>
      <c r="C488" s="82"/>
      <c r="D488" s="83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2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</row>
    <row r="489" ht="12.75" customHeight="1">
      <c r="A489" s="82"/>
      <c r="B489" s="82"/>
      <c r="C489" s="82"/>
      <c r="D489" s="83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2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</row>
    <row r="490" ht="12.75" customHeight="1">
      <c r="A490" s="82"/>
      <c r="B490" s="82"/>
      <c r="C490" s="82"/>
      <c r="D490" s="83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2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</row>
    <row r="491" ht="12.75" customHeight="1">
      <c r="A491" s="82"/>
      <c r="B491" s="82"/>
      <c r="C491" s="82"/>
      <c r="D491" s="83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2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</row>
    <row r="492" ht="12.75" customHeight="1">
      <c r="A492" s="82"/>
      <c r="B492" s="82"/>
      <c r="C492" s="82"/>
      <c r="D492" s="83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2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</row>
    <row r="493" ht="12.75" customHeight="1">
      <c r="A493" s="82"/>
      <c r="B493" s="82"/>
      <c r="C493" s="82"/>
      <c r="D493" s="83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2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</row>
    <row r="494" ht="12.75" customHeight="1">
      <c r="A494" s="82"/>
      <c r="B494" s="82"/>
      <c r="C494" s="82"/>
      <c r="D494" s="83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2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</row>
    <row r="495" ht="12.75" customHeight="1">
      <c r="A495" s="82"/>
      <c r="B495" s="82"/>
      <c r="C495" s="82"/>
      <c r="D495" s="83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2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</row>
    <row r="496" ht="12.75" customHeight="1">
      <c r="A496" s="82"/>
      <c r="B496" s="82"/>
      <c r="C496" s="82"/>
      <c r="D496" s="83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2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</row>
    <row r="497" ht="12.75" customHeight="1">
      <c r="A497" s="82"/>
      <c r="B497" s="82"/>
      <c r="C497" s="82"/>
      <c r="D497" s="83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2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</row>
    <row r="498" ht="12.75" customHeight="1">
      <c r="A498" s="82"/>
      <c r="B498" s="82"/>
      <c r="C498" s="82"/>
      <c r="D498" s="83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2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</row>
    <row r="499" ht="12.75" customHeight="1">
      <c r="A499" s="82"/>
      <c r="B499" s="82"/>
      <c r="C499" s="82"/>
      <c r="D499" s="83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2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</row>
    <row r="500" ht="12.75" customHeight="1">
      <c r="A500" s="82"/>
      <c r="B500" s="82"/>
      <c r="C500" s="82"/>
      <c r="D500" s="83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2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</row>
    <row r="501" ht="12.75" customHeight="1">
      <c r="A501" s="82"/>
      <c r="B501" s="82"/>
      <c r="C501" s="82"/>
      <c r="D501" s="83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2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</row>
    <row r="502" ht="12.75" customHeight="1">
      <c r="A502" s="82"/>
      <c r="B502" s="82"/>
      <c r="C502" s="82"/>
      <c r="D502" s="83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2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</row>
    <row r="503" ht="12.75" customHeight="1">
      <c r="A503" s="82"/>
      <c r="B503" s="82"/>
      <c r="C503" s="82"/>
      <c r="D503" s="83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2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</row>
    <row r="504" ht="12.75" customHeight="1">
      <c r="A504" s="82"/>
      <c r="B504" s="82"/>
      <c r="C504" s="82"/>
      <c r="D504" s="83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2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</row>
    <row r="505" ht="12.75" customHeight="1">
      <c r="A505" s="82"/>
      <c r="B505" s="82"/>
      <c r="C505" s="82"/>
      <c r="D505" s="83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2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</row>
    <row r="506" ht="12.75" customHeight="1">
      <c r="A506" s="82"/>
      <c r="B506" s="82"/>
      <c r="C506" s="82"/>
      <c r="D506" s="83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2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</row>
    <row r="507" ht="12.75" customHeight="1">
      <c r="A507" s="82"/>
      <c r="B507" s="82"/>
      <c r="C507" s="82"/>
      <c r="D507" s="83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2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</row>
    <row r="508" ht="12.75" customHeight="1">
      <c r="A508" s="82"/>
      <c r="B508" s="82"/>
      <c r="C508" s="82"/>
      <c r="D508" s="83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2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</row>
    <row r="509" ht="12.75" customHeight="1">
      <c r="A509" s="82"/>
      <c r="B509" s="82"/>
      <c r="C509" s="82"/>
      <c r="D509" s="83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2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</row>
    <row r="510" ht="12.75" customHeight="1">
      <c r="A510" s="82"/>
      <c r="B510" s="82"/>
      <c r="C510" s="82"/>
      <c r="D510" s="83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2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</row>
    <row r="511" ht="12.75" customHeight="1">
      <c r="A511" s="82"/>
      <c r="B511" s="82"/>
      <c r="C511" s="82"/>
      <c r="D511" s="83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2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</row>
    <row r="512" ht="12.75" customHeight="1">
      <c r="A512" s="82"/>
      <c r="B512" s="82"/>
      <c r="C512" s="82"/>
      <c r="D512" s="83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2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</row>
    <row r="513" ht="12.75" customHeight="1">
      <c r="A513" s="82"/>
      <c r="B513" s="82"/>
      <c r="C513" s="82"/>
      <c r="D513" s="83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2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</row>
    <row r="514" ht="12.75" customHeight="1">
      <c r="A514" s="82"/>
      <c r="B514" s="82"/>
      <c r="C514" s="82"/>
      <c r="D514" s="83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2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</row>
    <row r="515" ht="12.75" customHeight="1">
      <c r="A515" s="82"/>
      <c r="B515" s="82"/>
      <c r="C515" s="82"/>
      <c r="D515" s="83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2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</row>
    <row r="516" ht="12.75" customHeight="1">
      <c r="A516" s="82"/>
      <c r="B516" s="82"/>
      <c r="C516" s="82"/>
      <c r="D516" s="83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2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</row>
    <row r="517" ht="12.75" customHeight="1">
      <c r="A517" s="82"/>
      <c r="B517" s="82"/>
      <c r="C517" s="82"/>
      <c r="D517" s="83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2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</row>
    <row r="518" ht="12.75" customHeight="1">
      <c r="A518" s="82"/>
      <c r="B518" s="82"/>
      <c r="C518" s="82"/>
      <c r="D518" s="83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2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</row>
    <row r="519" ht="12.75" customHeight="1">
      <c r="A519" s="82"/>
      <c r="B519" s="82"/>
      <c r="C519" s="82"/>
      <c r="D519" s="83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2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</row>
    <row r="520" ht="12.75" customHeight="1">
      <c r="A520" s="82"/>
      <c r="B520" s="82"/>
      <c r="C520" s="82"/>
      <c r="D520" s="83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2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</row>
    <row r="521" ht="12.75" customHeight="1">
      <c r="A521" s="82"/>
      <c r="B521" s="82"/>
      <c r="C521" s="82"/>
      <c r="D521" s="83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2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</row>
    <row r="522" ht="12.75" customHeight="1">
      <c r="A522" s="82"/>
      <c r="B522" s="82"/>
      <c r="C522" s="82"/>
      <c r="D522" s="83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2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</row>
    <row r="523" ht="12.75" customHeight="1">
      <c r="A523" s="82"/>
      <c r="B523" s="82"/>
      <c r="C523" s="82"/>
      <c r="D523" s="83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2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</row>
    <row r="524" ht="12.75" customHeight="1">
      <c r="A524" s="82"/>
      <c r="B524" s="82"/>
      <c r="C524" s="82"/>
      <c r="D524" s="83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2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</row>
    <row r="525" ht="12.75" customHeight="1">
      <c r="A525" s="82"/>
      <c r="B525" s="82"/>
      <c r="C525" s="82"/>
      <c r="D525" s="83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2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</row>
    <row r="526" ht="12.75" customHeight="1">
      <c r="A526" s="82"/>
      <c r="B526" s="82"/>
      <c r="C526" s="82"/>
      <c r="D526" s="83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2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</row>
    <row r="527" ht="12.75" customHeight="1">
      <c r="A527" s="82"/>
      <c r="B527" s="82"/>
      <c r="C527" s="82"/>
      <c r="D527" s="83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2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</row>
    <row r="528" ht="12.75" customHeight="1">
      <c r="A528" s="82"/>
      <c r="B528" s="82"/>
      <c r="C528" s="82"/>
      <c r="D528" s="83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2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</row>
    <row r="529" ht="12.75" customHeight="1">
      <c r="A529" s="82"/>
      <c r="B529" s="82"/>
      <c r="C529" s="82"/>
      <c r="D529" s="83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2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</row>
    <row r="530" ht="12.75" customHeight="1">
      <c r="A530" s="82"/>
      <c r="B530" s="82"/>
      <c r="C530" s="82"/>
      <c r="D530" s="83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2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</row>
    <row r="531" ht="12.75" customHeight="1">
      <c r="A531" s="82"/>
      <c r="B531" s="82"/>
      <c r="C531" s="82"/>
      <c r="D531" s="83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2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</row>
    <row r="532" ht="12.75" customHeight="1">
      <c r="A532" s="82"/>
      <c r="B532" s="82"/>
      <c r="C532" s="82"/>
      <c r="D532" s="83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2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</row>
    <row r="533" ht="12.75" customHeight="1">
      <c r="A533" s="82"/>
      <c r="B533" s="82"/>
      <c r="C533" s="82"/>
      <c r="D533" s="83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2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</row>
    <row r="534" ht="12.75" customHeight="1">
      <c r="A534" s="82"/>
      <c r="B534" s="82"/>
      <c r="C534" s="82"/>
      <c r="D534" s="83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2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</row>
    <row r="535" ht="12.75" customHeight="1">
      <c r="A535" s="82"/>
      <c r="B535" s="82"/>
      <c r="C535" s="82"/>
      <c r="D535" s="83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2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</row>
    <row r="536" ht="12.75" customHeight="1">
      <c r="A536" s="82"/>
      <c r="B536" s="82"/>
      <c r="C536" s="82"/>
      <c r="D536" s="83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2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</row>
    <row r="537" ht="12.75" customHeight="1">
      <c r="A537" s="82"/>
      <c r="B537" s="82"/>
      <c r="C537" s="82"/>
      <c r="D537" s="83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2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</row>
    <row r="538" ht="12.75" customHeight="1">
      <c r="A538" s="82"/>
      <c r="B538" s="82"/>
      <c r="C538" s="82"/>
      <c r="D538" s="83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2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</row>
    <row r="539" ht="12.75" customHeight="1">
      <c r="A539" s="82"/>
      <c r="B539" s="82"/>
      <c r="C539" s="82"/>
      <c r="D539" s="83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2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</row>
    <row r="540" ht="12.75" customHeight="1">
      <c r="A540" s="82"/>
      <c r="B540" s="82"/>
      <c r="C540" s="82"/>
      <c r="D540" s="83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2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</row>
    <row r="541" ht="12.75" customHeight="1">
      <c r="A541" s="82"/>
      <c r="B541" s="82"/>
      <c r="C541" s="82"/>
      <c r="D541" s="83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2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</row>
    <row r="542" ht="12.75" customHeight="1">
      <c r="A542" s="82"/>
      <c r="B542" s="82"/>
      <c r="C542" s="82"/>
      <c r="D542" s="83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2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</row>
    <row r="543" ht="12.75" customHeight="1">
      <c r="A543" s="82"/>
      <c r="B543" s="82"/>
      <c r="C543" s="82"/>
      <c r="D543" s="83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2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</row>
    <row r="544" ht="12.75" customHeight="1">
      <c r="A544" s="82"/>
      <c r="B544" s="82"/>
      <c r="C544" s="82"/>
      <c r="D544" s="83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2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</row>
    <row r="545" ht="12.75" customHeight="1">
      <c r="A545" s="82"/>
      <c r="B545" s="82"/>
      <c r="C545" s="82"/>
      <c r="D545" s="83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2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</row>
    <row r="546" ht="12.75" customHeight="1">
      <c r="A546" s="82"/>
      <c r="B546" s="82"/>
      <c r="C546" s="82"/>
      <c r="D546" s="83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2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</row>
    <row r="547" ht="12.75" customHeight="1">
      <c r="A547" s="82"/>
      <c r="B547" s="82"/>
      <c r="C547" s="82"/>
      <c r="D547" s="83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2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</row>
    <row r="548" ht="12.75" customHeight="1">
      <c r="A548" s="82"/>
      <c r="B548" s="82"/>
      <c r="C548" s="82"/>
      <c r="D548" s="83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2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</row>
    <row r="549" ht="12.75" customHeight="1">
      <c r="A549" s="82"/>
      <c r="B549" s="82"/>
      <c r="C549" s="82"/>
      <c r="D549" s="83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2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</row>
    <row r="550" ht="12.75" customHeight="1">
      <c r="A550" s="82"/>
      <c r="B550" s="82"/>
      <c r="C550" s="82"/>
      <c r="D550" s="83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2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</row>
    <row r="551" ht="12.75" customHeight="1">
      <c r="A551" s="82"/>
      <c r="B551" s="82"/>
      <c r="C551" s="82"/>
      <c r="D551" s="83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2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</row>
    <row r="552" ht="12.75" customHeight="1">
      <c r="A552" s="82"/>
      <c r="B552" s="82"/>
      <c r="C552" s="82"/>
      <c r="D552" s="83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2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</row>
    <row r="553" ht="12.75" customHeight="1">
      <c r="A553" s="82"/>
      <c r="B553" s="82"/>
      <c r="C553" s="82"/>
      <c r="D553" s="83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2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</row>
    <row r="554" ht="12.75" customHeight="1">
      <c r="A554" s="82"/>
      <c r="B554" s="82"/>
      <c r="C554" s="82"/>
      <c r="D554" s="83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2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</row>
    <row r="555" ht="12.75" customHeight="1">
      <c r="A555" s="82"/>
      <c r="B555" s="82"/>
      <c r="C555" s="82"/>
      <c r="D555" s="83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2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</row>
    <row r="556" ht="12.75" customHeight="1">
      <c r="A556" s="82"/>
      <c r="B556" s="82"/>
      <c r="C556" s="82"/>
      <c r="D556" s="83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2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</row>
    <row r="557" ht="12.75" customHeight="1">
      <c r="A557" s="82"/>
      <c r="B557" s="82"/>
      <c r="C557" s="82"/>
      <c r="D557" s="83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2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</row>
    <row r="558" ht="12.75" customHeight="1">
      <c r="A558" s="82"/>
      <c r="B558" s="82"/>
      <c r="C558" s="82"/>
      <c r="D558" s="83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2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</row>
    <row r="559" ht="12.75" customHeight="1">
      <c r="A559" s="82"/>
      <c r="B559" s="82"/>
      <c r="C559" s="82"/>
      <c r="D559" s="83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2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</row>
    <row r="560" ht="12.75" customHeight="1">
      <c r="A560" s="82"/>
      <c r="B560" s="82"/>
      <c r="C560" s="82"/>
      <c r="D560" s="83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2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</row>
    <row r="561" ht="12.75" customHeight="1">
      <c r="A561" s="82"/>
      <c r="B561" s="82"/>
      <c r="C561" s="82"/>
      <c r="D561" s="83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2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</row>
    <row r="562" ht="12.75" customHeight="1">
      <c r="A562" s="82"/>
      <c r="B562" s="82"/>
      <c r="C562" s="82"/>
      <c r="D562" s="83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2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</row>
    <row r="563" ht="12.75" customHeight="1">
      <c r="A563" s="82"/>
      <c r="B563" s="82"/>
      <c r="C563" s="82"/>
      <c r="D563" s="83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2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</row>
    <row r="564" ht="12.75" customHeight="1">
      <c r="A564" s="82"/>
      <c r="B564" s="82"/>
      <c r="C564" s="82"/>
      <c r="D564" s="83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2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</row>
    <row r="565" ht="12.75" customHeight="1">
      <c r="A565" s="82"/>
      <c r="B565" s="82"/>
      <c r="C565" s="82"/>
      <c r="D565" s="83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2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</row>
    <row r="566" ht="12.75" customHeight="1">
      <c r="A566" s="82"/>
      <c r="B566" s="82"/>
      <c r="C566" s="82"/>
      <c r="D566" s="83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2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</row>
    <row r="567" ht="12.75" customHeight="1">
      <c r="A567" s="82"/>
      <c r="B567" s="82"/>
      <c r="C567" s="82"/>
      <c r="D567" s="83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2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</row>
    <row r="568" ht="12.75" customHeight="1">
      <c r="A568" s="82"/>
      <c r="B568" s="82"/>
      <c r="C568" s="82"/>
      <c r="D568" s="83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2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</row>
    <row r="569" ht="12.75" customHeight="1">
      <c r="A569" s="82"/>
      <c r="B569" s="82"/>
      <c r="C569" s="82"/>
      <c r="D569" s="83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2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</row>
    <row r="570" ht="12.75" customHeight="1">
      <c r="A570" s="82"/>
      <c r="B570" s="82"/>
      <c r="C570" s="82"/>
      <c r="D570" s="83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2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</row>
    <row r="571" ht="12.75" customHeight="1">
      <c r="A571" s="82"/>
      <c r="B571" s="82"/>
      <c r="C571" s="82"/>
      <c r="D571" s="83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2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</row>
    <row r="572" ht="12.75" customHeight="1">
      <c r="A572" s="82"/>
      <c r="B572" s="82"/>
      <c r="C572" s="82"/>
      <c r="D572" s="83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2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</row>
    <row r="573" ht="12.75" customHeight="1">
      <c r="A573" s="82"/>
      <c r="B573" s="82"/>
      <c r="C573" s="82"/>
      <c r="D573" s="83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2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</row>
    <row r="574" ht="12.75" customHeight="1">
      <c r="A574" s="82"/>
      <c r="B574" s="82"/>
      <c r="C574" s="82"/>
      <c r="D574" s="83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2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</row>
    <row r="575" ht="12.75" customHeight="1">
      <c r="A575" s="82"/>
      <c r="B575" s="82"/>
      <c r="C575" s="82"/>
      <c r="D575" s="83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2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</row>
    <row r="576" ht="12.75" customHeight="1">
      <c r="A576" s="82"/>
      <c r="B576" s="82"/>
      <c r="C576" s="82"/>
      <c r="D576" s="83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2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</row>
    <row r="577" ht="12.75" customHeight="1">
      <c r="A577" s="82"/>
      <c r="B577" s="82"/>
      <c r="C577" s="82"/>
      <c r="D577" s="83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2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</row>
    <row r="578" ht="12.75" customHeight="1">
      <c r="A578" s="82"/>
      <c r="B578" s="82"/>
      <c r="C578" s="82"/>
      <c r="D578" s="83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2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</row>
    <row r="579" ht="12.75" customHeight="1">
      <c r="A579" s="82"/>
      <c r="B579" s="82"/>
      <c r="C579" s="82"/>
      <c r="D579" s="83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2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</row>
    <row r="580" ht="12.75" customHeight="1">
      <c r="A580" s="82"/>
      <c r="B580" s="82"/>
      <c r="C580" s="82"/>
      <c r="D580" s="83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2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</row>
    <row r="581" ht="12.75" customHeight="1">
      <c r="A581" s="82"/>
      <c r="B581" s="82"/>
      <c r="C581" s="82"/>
      <c r="D581" s="83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2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</row>
    <row r="582" ht="12.75" customHeight="1">
      <c r="A582" s="82"/>
      <c r="B582" s="82"/>
      <c r="C582" s="82"/>
      <c r="D582" s="83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2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</row>
    <row r="583" ht="12.75" customHeight="1">
      <c r="A583" s="82"/>
      <c r="B583" s="82"/>
      <c r="C583" s="82"/>
      <c r="D583" s="83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2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</row>
    <row r="584" ht="12.75" customHeight="1">
      <c r="A584" s="82"/>
      <c r="B584" s="82"/>
      <c r="C584" s="82"/>
      <c r="D584" s="83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2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</row>
    <row r="585" ht="12.75" customHeight="1">
      <c r="A585" s="82"/>
      <c r="B585" s="82"/>
      <c r="C585" s="82"/>
      <c r="D585" s="83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2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</row>
    <row r="586" ht="12.75" customHeight="1">
      <c r="A586" s="82"/>
      <c r="B586" s="82"/>
      <c r="C586" s="82"/>
      <c r="D586" s="83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2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</row>
    <row r="587" ht="12.75" customHeight="1">
      <c r="A587" s="82"/>
      <c r="B587" s="82"/>
      <c r="C587" s="82"/>
      <c r="D587" s="83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2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</row>
    <row r="588" ht="12.75" customHeight="1">
      <c r="A588" s="82"/>
      <c r="B588" s="82"/>
      <c r="C588" s="82"/>
      <c r="D588" s="83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2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</row>
    <row r="589" ht="12.75" customHeight="1">
      <c r="A589" s="82"/>
      <c r="B589" s="82"/>
      <c r="C589" s="82"/>
      <c r="D589" s="83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2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</row>
    <row r="590" ht="12.75" customHeight="1">
      <c r="A590" s="82"/>
      <c r="B590" s="82"/>
      <c r="C590" s="82"/>
      <c r="D590" s="83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2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</row>
    <row r="591" ht="12.75" customHeight="1">
      <c r="A591" s="82"/>
      <c r="B591" s="82"/>
      <c r="C591" s="82"/>
      <c r="D591" s="83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2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</row>
    <row r="592" ht="12.75" customHeight="1">
      <c r="A592" s="82"/>
      <c r="B592" s="82"/>
      <c r="C592" s="82"/>
      <c r="D592" s="83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2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</row>
    <row r="593" ht="12.75" customHeight="1">
      <c r="A593" s="82"/>
      <c r="B593" s="82"/>
      <c r="C593" s="82"/>
      <c r="D593" s="83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2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</row>
    <row r="594" ht="12.75" customHeight="1">
      <c r="A594" s="82"/>
      <c r="B594" s="82"/>
      <c r="C594" s="82"/>
      <c r="D594" s="83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2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</row>
    <row r="595" ht="12.75" customHeight="1">
      <c r="A595" s="82"/>
      <c r="B595" s="82"/>
      <c r="C595" s="82"/>
      <c r="D595" s="83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2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</row>
    <row r="596" ht="12.75" customHeight="1">
      <c r="A596" s="82"/>
      <c r="B596" s="82"/>
      <c r="C596" s="82"/>
      <c r="D596" s="83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2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</row>
    <row r="597" ht="12.75" customHeight="1">
      <c r="A597" s="82"/>
      <c r="B597" s="82"/>
      <c r="C597" s="82"/>
      <c r="D597" s="83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2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</row>
    <row r="598" ht="12.75" customHeight="1">
      <c r="A598" s="82"/>
      <c r="B598" s="82"/>
      <c r="C598" s="82"/>
      <c r="D598" s="83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2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</row>
    <row r="599" ht="12.75" customHeight="1">
      <c r="A599" s="82"/>
      <c r="B599" s="82"/>
      <c r="C599" s="82"/>
      <c r="D599" s="83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2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</row>
    <row r="600" ht="12.75" customHeight="1">
      <c r="A600" s="82"/>
      <c r="B600" s="82"/>
      <c r="C600" s="82"/>
      <c r="D600" s="83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2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</row>
    <row r="601" ht="12.75" customHeight="1">
      <c r="A601" s="82"/>
      <c r="B601" s="82"/>
      <c r="C601" s="82"/>
      <c r="D601" s="83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2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</row>
    <row r="602" ht="12.75" customHeight="1">
      <c r="A602" s="82"/>
      <c r="B602" s="82"/>
      <c r="C602" s="82"/>
      <c r="D602" s="83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2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</row>
    <row r="603" ht="12.75" customHeight="1">
      <c r="A603" s="82"/>
      <c r="B603" s="82"/>
      <c r="C603" s="82"/>
      <c r="D603" s="83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2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</row>
    <row r="604" ht="12.75" customHeight="1">
      <c r="A604" s="82"/>
      <c r="B604" s="82"/>
      <c r="C604" s="82"/>
      <c r="D604" s="83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2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</row>
    <row r="605" ht="12.75" customHeight="1">
      <c r="A605" s="82"/>
      <c r="B605" s="82"/>
      <c r="C605" s="82"/>
      <c r="D605" s="83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2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</row>
    <row r="606" ht="12.75" customHeight="1">
      <c r="A606" s="82"/>
      <c r="B606" s="82"/>
      <c r="C606" s="82"/>
      <c r="D606" s="83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2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</row>
    <row r="607" ht="12.75" customHeight="1">
      <c r="A607" s="82"/>
      <c r="B607" s="82"/>
      <c r="C607" s="82"/>
      <c r="D607" s="83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2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</row>
    <row r="608" ht="12.75" customHeight="1">
      <c r="A608" s="82"/>
      <c r="B608" s="82"/>
      <c r="C608" s="82"/>
      <c r="D608" s="83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2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</row>
    <row r="609" ht="12.75" customHeight="1">
      <c r="A609" s="82"/>
      <c r="B609" s="82"/>
      <c r="C609" s="82"/>
      <c r="D609" s="83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2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</row>
    <row r="610" ht="12.75" customHeight="1">
      <c r="A610" s="82"/>
      <c r="B610" s="82"/>
      <c r="C610" s="82"/>
      <c r="D610" s="83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2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</row>
    <row r="611" ht="12.75" customHeight="1">
      <c r="A611" s="82"/>
      <c r="B611" s="82"/>
      <c r="C611" s="82"/>
      <c r="D611" s="83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2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</row>
    <row r="612" ht="12.75" customHeight="1">
      <c r="A612" s="82"/>
      <c r="B612" s="82"/>
      <c r="C612" s="82"/>
      <c r="D612" s="83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2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</row>
    <row r="613" ht="12.75" customHeight="1">
      <c r="A613" s="82"/>
      <c r="B613" s="82"/>
      <c r="C613" s="82"/>
      <c r="D613" s="83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2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</row>
    <row r="614" ht="12.75" customHeight="1">
      <c r="A614" s="82"/>
      <c r="B614" s="82"/>
      <c r="C614" s="82"/>
      <c r="D614" s="83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2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</row>
    <row r="615" ht="12.75" customHeight="1">
      <c r="A615" s="82"/>
      <c r="B615" s="82"/>
      <c r="C615" s="82"/>
      <c r="D615" s="83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2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</row>
    <row r="616" ht="12.75" customHeight="1">
      <c r="A616" s="82"/>
      <c r="B616" s="82"/>
      <c r="C616" s="82"/>
      <c r="D616" s="83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2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</row>
    <row r="617" ht="12.75" customHeight="1">
      <c r="A617" s="82"/>
      <c r="B617" s="82"/>
      <c r="C617" s="82"/>
      <c r="D617" s="83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2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</row>
    <row r="618" ht="12.75" customHeight="1">
      <c r="A618" s="82"/>
      <c r="B618" s="82"/>
      <c r="C618" s="82"/>
      <c r="D618" s="83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2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</row>
    <row r="619" ht="12.75" customHeight="1">
      <c r="A619" s="82"/>
      <c r="B619" s="82"/>
      <c r="C619" s="82"/>
      <c r="D619" s="83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2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</row>
    <row r="620" ht="12.75" customHeight="1">
      <c r="A620" s="82"/>
      <c r="B620" s="82"/>
      <c r="C620" s="82"/>
      <c r="D620" s="83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2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</row>
    <row r="621" ht="12.75" customHeight="1">
      <c r="A621" s="82"/>
      <c r="B621" s="82"/>
      <c r="C621" s="82"/>
      <c r="D621" s="83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2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</row>
    <row r="622" ht="12.75" customHeight="1">
      <c r="A622" s="82"/>
      <c r="B622" s="82"/>
      <c r="C622" s="82"/>
      <c r="D622" s="83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2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</row>
    <row r="623" ht="12.75" customHeight="1">
      <c r="A623" s="82"/>
      <c r="B623" s="82"/>
      <c r="C623" s="82"/>
      <c r="D623" s="83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2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</row>
    <row r="624" ht="12.75" customHeight="1">
      <c r="A624" s="82"/>
      <c r="B624" s="82"/>
      <c r="C624" s="82"/>
      <c r="D624" s="83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2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</row>
    <row r="625" ht="12.75" customHeight="1">
      <c r="A625" s="82"/>
      <c r="B625" s="82"/>
      <c r="C625" s="82"/>
      <c r="D625" s="83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2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</row>
    <row r="626" ht="12.75" customHeight="1">
      <c r="A626" s="82"/>
      <c r="B626" s="82"/>
      <c r="C626" s="82"/>
      <c r="D626" s="83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2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</row>
    <row r="627" ht="12.75" customHeight="1">
      <c r="A627" s="82"/>
      <c r="B627" s="82"/>
      <c r="C627" s="82"/>
      <c r="D627" s="83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2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</row>
    <row r="628" ht="12.75" customHeight="1">
      <c r="A628" s="82"/>
      <c r="B628" s="82"/>
      <c r="C628" s="82"/>
      <c r="D628" s="83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2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</row>
    <row r="629" ht="12.75" customHeight="1">
      <c r="A629" s="82"/>
      <c r="B629" s="82"/>
      <c r="C629" s="82"/>
      <c r="D629" s="83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2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</row>
    <row r="630" ht="12.75" customHeight="1">
      <c r="A630" s="82"/>
      <c r="B630" s="82"/>
      <c r="C630" s="82"/>
      <c r="D630" s="83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2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</row>
    <row r="631" ht="12.75" customHeight="1">
      <c r="A631" s="82"/>
      <c r="B631" s="82"/>
      <c r="C631" s="82"/>
      <c r="D631" s="83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2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</row>
    <row r="632" ht="12.75" customHeight="1">
      <c r="A632" s="82"/>
      <c r="B632" s="82"/>
      <c r="C632" s="82"/>
      <c r="D632" s="83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2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</row>
    <row r="633" ht="12.75" customHeight="1">
      <c r="A633" s="82"/>
      <c r="B633" s="82"/>
      <c r="C633" s="82"/>
      <c r="D633" s="83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2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</row>
    <row r="634" ht="12.75" customHeight="1">
      <c r="A634" s="82"/>
      <c r="B634" s="82"/>
      <c r="C634" s="82"/>
      <c r="D634" s="83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2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</row>
    <row r="635" ht="12.75" customHeight="1">
      <c r="A635" s="82"/>
      <c r="B635" s="82"/>
      <c r="C635" s="82"/>
      <c r="D635" s="83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2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</row>
    <row r="636" ht="12.75" customHeight="1">
      <c r="A636" s="82"/>
      <c r="B636" s="82"/>
      <c r="C636" s="82"/>
      <c r="D636" s="83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2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</row>
    <row r="637" ht="12.75" customHeight="1">
      <c r="A637" s="82"/>
      <c r="B637" s="82"/>
      <c r="C637" s="82"/>
      <c r="D637" s="83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2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</row>
    <row r="638" ht="12.75" customHeight="1">
      <c r="A638" s="82"/>
      <c r="B638" s="82"/>
      <c r="C638" s="82"/>
      <c r="D638" s="83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2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</row>
    <row r="639" ht="12.75" customHeight="1">
      <c r="A639" s="82"/>
      <c r="B639" s="82"/>
      <c r="C639" s="82"/>
      <c r="D639" s="83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2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</row>
    <row r="640" ht="12.75" customHeight="1">
      <c r="A640" s="82"/>
      <c r="B640" s="82"/>
      <c r="C640" s="82"/>
      <c r="D640" s="83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2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</row>
    <row r="641" ht="12.75" customHeight="1">
      <c r="A641" s="82"/>
      <c r="B641" s="82"/>
      <c r="C641" s="82"/>
      <c r="D641" s="83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2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</row>
    <row r="642" ht="12.75" customHeight="1">
      <c r="A642" s="82"/>
      <c r="B642" s="82"/>
      <c r="C642" s="82"/>
      <c r="D642" s="83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2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</row>
    <row r="643" ht="12.75" customHeight="1">
      <c r="A643" s="82"/>
      <c r="B643" s="82"/>
      <c r="C643" s="82"/>
      <c r="D643" s="83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2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</row>
    <row r="644" ht="12.75" customHeight="1">
      <c r="A644" s="82"/>
      <c r="B644" s="82"/>
      <c r="C644" s="82"/>
      <c r="D644" s="83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2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</row>
    <row r="645" ht="12.75" customHeight="1">
      <c r="A645" s="82"/>
      <c r="B645" s="82"/>
      <c r="C645" s="82"/>
      <c r="D645" s="83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2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</row>
    <row r="646" ht="12.75" customHeight="1">
      <c r="A646" s="82"/>
      <c r="B646" s="82"/>
      <c r="C646" s="82"/>
      <c r="D646" s="83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2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</row>
    <row r="647" ht="12.75" customHeight="1">
      <c r="A647" s="82"/>
      <c r="B647" s="82"/>
      <c r="C647" s="82"/>
      <c r="D647" s="83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2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</row>
    <row r="648" ht="12.75" customHeight="1">
      <c r="A648" s="82"/>
      <c r="B648" s="82"/>
      <c r="C648" s="82"/>
      <c r="D648" s="83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2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</row>
    <row r="649" ht="12.75" customHeight="1">
      <c r="A649" s="82"/>
      <c r="B649" s="82"/>
      <c r="C649" s="82"/>
      <c r="D649" s="83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2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</row>
    <row r="650" ht="12.75" customHeight="1">
      <c r="A650" s="82"/>
      <c r="B650" s="82"/>
      <c r="C650" s="82"/>
      <c r="D650" s="83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2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</row>
    <row r="651" ht="12.75" customHeight="1">
      <c r="A651" s="82"/>
      <c r="B651" s="82"/>
      <c r="C651" s="82"/>
      <c r="D651" s="83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2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</row>
    <row r="652" ht="12.75" customHeight="1">
      <c r="A652" s="82"/>
      <c r="B652" s="82"/>
      <c r="C652" s="82"/>
      <c r="D652" s="83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2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</row>
    <row r="653" ht="12.75" customHeight="1">
      <c r="A653" s="82"/>
      <c r="B653" s="82"/>
      <c r="C653" s="82"/>
      <c r="D653" s="83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2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</row>
    <row r="654" ht="12.75" customHeight="1">
      <c r="A654" s="82"/>
      <c r="B654" s="82"/>
      <c r="C654" s="82"/>
      <c r="D654" s="83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2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</row>
    <row r="655" ht="12.75" customHeight="1">
      <c r="A655" s="82"/>
      <c r="B655" s="82"/>
      <c r="C655" s="82"/>
      <c r="D655" s="83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2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</row>
    <row r="656" ht="12.75" customHeight="1">
      <c r="A656" s="82"/>
      <c r="B656" s="82"/>
      <c r="C656" s="82"/>
      <c r="D656" s="83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2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</row>
    <row r="657" ht="12.75" customHeight="1">
      <c r="A657" s="82"/>
      <c r="B657" s="82"/>
      <c r="C657" s="82"/>
      <c r="D657" s="83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2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</row>
    <row r="658" ht="12.75" customHeight="1">
      <c r="A658" s="82"/>
      <c r="B658" s="82"/>
      <c r="C658" s="82"/>
      <c r="D658" s="83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2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</row>
    <row r="659" ht="12.75" customHeight="1">
      <c r="A659" s="82"/>
      <c r="B659" s="82"/>
      <c r="C659" s="82"/>
      <c r="D659" s="83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2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</row>
    <row r="660" ht="12.75" customHeight="1">
      <c r="A660" s="82"/>
      <c r="B660" s="82"/>
      <c r="C660" s="82"/>
      <c r="D660" s="83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2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</row>
    <row r="661" ht="12.75" customHeight="1">
      <c r="A661" s="82"/>
      <c r="B661" s="82"/>
      <c r="C661" s="82"/>
      <c r="D661" s="83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2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</row>
    <row r="662" ht="12.75" customHeight="1">
      <c r="A662" s="82"/>
      <c r="B662" s="82"/>
      <c r="C662" s="82"/>
      <c r="D662" s="83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2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</row>
    <row r="663" ht="12.75" customHeight="1">
      <c r="A663" s="82"/>
      <c r="B663" s="82"/>
      <c r="C663" s="82"/>
      <c r="D663" s="83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2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</row>
    <row r="664" ht="12.75" customHeight="1">
      <c r="A664" s="82"/>
      <c r="B664" s="82"/>
      <c r="C664" s="82"/>
      <c r="D664" s="83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2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</row>
    <row r="665" ht="12.75" customHeight="1">
      <c r="A665" s="82"/>
      <c r="B665" s="82"/>
      <c r="C665" s="82"/>
      <c r="D665" s="83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2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</row>
    <row r="666" ht="12.75" customHeight="1">
      <c r="A666" s="82"/>
      <c r="B666" s="82"/>
      <c r="C666" s="82"/>
      <c r="D666" s="83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2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</row>
    <row r="667" ht="12.75" customHeight="1">
      <c r="A667" s="82"/>
      <c r="B667" s="82"/>
      <c r="C667" s="82"/>
      <c r="D667" s="83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2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</row>
    <row r="668" ht="12.75" customHeight="1">
      <c r="A668" s="82"/>
      <c r="B668" s="82"/>
      <c r="C668" s="82"/>
      <c r="D668" s="83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2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</row>
    <row r="669" ht="12.75" customHeight="1">
      <c r="A669" s="82"/>
      <c r="B669" s="82"/>
      <c r="C669" s="82"/>
      <c r="D669" s="83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2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</row>
    <row r="670" ht="12.75" customHeight="1">
      <c r="A670" s="82"/>
      <c r="B670" s="82"/>
      <c r="C670" s="82"/>
      <c r="D670" s="83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2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</row>
    <row r="671" ht="12.75" customHeight="1">
      <c r="A671" s="82"/>
      <c r="B671" s="82"/>
      <c r="C671" s="82"/>
      <c r="D671" s="83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2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</row>
    <row r="672" ht="12.75" customHeight="1">
      <c r="A672" s="82"/>
      <c r="B672" s="82"/>
      <c r="C672" s="82"/>
      <c r="D672" s="83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2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</row>
    <row r="673" ht="12.75" customHeight="1">
      <c r="A673" s="82"/>
      <c r="B673" s="82"/>
      <c r="C673" s="82"/>
      <c r="D673" s="83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2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</row>
    <row r="674" ht="12.75" customHeight="1">
      <c r="A674" s="82"/>
      <c r="B674" s="82"/>
      <c r="C674" s="82"/>
      <c r="D674" s="83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2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</row>
    <row r="675" ht="12.75" customHeight="1">
      <c r="A675" s="82"/>
      <c r="B675" s="82"/>
      <c r="C675" s="82"/>
      <c r="D675" s="83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2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</row>
    <row r="676" ht="12.75" customHeight="1">
      <c r="A676" s="82"/>
      <c r="B676" s="82"/>
      <c r="C676" s="82"/>
      <c r="D676" s="83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2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</row>
    <row r="677" ht="12.75" customHeight="1">
      <c r="A677" s="82"/>
      <c r="B677" s="82"/>
      <c r="C677" s="82"/>
      <c r="D677" s="83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2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</row>
    <row r="678" ht="12.75" customHeight="1">
      <c r="A678" s="82"/>
      <c r="B678" s="82"/>
      <c r="C678" s="82"/>
      <c r="D678" s="83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2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</row>
    <row r="679" ht="12.75" customHeight="1">
      <c r="A679" s="82"/>
      <c r="B679" s="82"/>
      <c r="C679" s="82"/>
      <c r="D679" s="83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2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</row>
    <row r="680" ht="12.75" customHeight="1">
      <c r="A680" s="82"/>
      <c r="B680" s="82"/>
      <c r="C680" s="82"/>
      <c r="D680" s="83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2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</row>
    <row r="681" ht="12.75" customHeight="1">
      <c r="A681" s="82"/>
      <c r="B681" s="82"/>
      <c r="C681" s="82"/>
      <c r="D681" s="83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2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</row>
    <row r="682" ht="12.75" customHeight="1">
      <c r="A682" s="82"/>
      <c r="B682" s="82"/>
      <c r="C682" s="82"/>
      <c r="D682" s="83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2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</row>
    <row r="683" ht="12.75" customHeight="1">
      <c r="A683" s="82"/>
      <c r="B683" s="82"/>
      <c r="C683" s="82"/>
      <c r="D683" s="83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2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</row>
    <row r="684" ht="12.75" customHeight="1">
      <c r="A684" s="82"/>
      <c r="B684" s="82"/>
      <c r="C684" s="82"/>
      <c r="D684" s="83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2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</row>
    <row r="685" ht="12.75" customHeight="1">
      <c r="A685" s="82"/>
      <c r="B685" s="82"/>
      <c r="C685" s="82"/>
      <c r="D685" s="83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2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</row>
    <row r="686" ht="12.75" customHeight="1">
      <c r="A686" s="82"/>
      <c r="B686" s="82"/>
      <c r="C686" s="82"/>
      <c r="D686" s="83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2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</row>
    <row r="687" ht="12.75" customHeight="1">
      <c r="A687" s="82"/>
      <c r="B687" s="82"/>
      <c r="C687" s="82"/>
      <c r="D687" s="83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2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</row>
    <row r="688" ht="12.75" customHeight="1">
      <c r="A688" s="82"/>
      <c r="B688" s="82"/>
      <c r="C688" s="82"/>
      <c r="D688" s="83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2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</row>
    <row r="689" ht="12.75" customHeight="1">
      <c r="A689" s="82"/>
      <c r="B689" s="82"/>
      <c r="C689" s="82"/>
      <c r="D689" s="83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2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</row>
    <row r="690" ht="12.75" customHeight="1">
      <c r="A690" s="82"/>
      <c r="B690" s="82"/>
      <c r="C690" s="82"/>
      <c r="D690" s="83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2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</row>
    <row r="691" ht="12.75" customHeight="1">
      <c r="A691" s="82"/>
      <c r="B691" s="82"/>
      <c r="C691" s="82"/>
      <c r="D691" s="83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2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</row>
    <row r="692" ht="12.75" customHeight="1">
      <c r="A692" s="82"/>
      <c r="B692" s="82"/>
      <c r="C692" s="82"/>
      <c r="D692" s="83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2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</row>
    <row r="693" ht="12.75" customHeight="1">
      <c r="A693" s="82"/>
      <c r="B693" s="82"/>
      <c r="C693" s="82"/>
      <c r="D693" s="83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2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</row>
    <row r="694" ht="12.75" customHeight="1">
      <c r="A694" s="82"/>
      <c r="B694" s="82"/>
      <c r="C694" s="82"/>
      <c r="D694" s="83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2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</row>
    <row r="695" ht="12.75" customHeight="1">
      <c r="A695" s="82"/>
      <c r="B695" s="82"/>
      <c r="C695" s="82"/>
      <c r="D695" s="83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2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</row>
    <row r="696" ht="12.75" customHeight="1">
      <c r="A696" s="82"/>
      <c r="B696" s="82"/>
      <c r="C696" s="82"/>
      <c r="D696" s="83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2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</row>
    <row r="697" ht="12.75" customHeight="1">
      <c r="A697" s="82"/>
      <c r="B697" s="82"/>
      <c r="C697" s="82"/>
      <c r="D697" s="83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2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</row>
    <row r="698" ht="12.75" customHeight="1">
      <c r="A698" s="82"/>
      <c r="B698" s="82"/>
      <c r="C698" s="82"/>
      <c r="D698" s="83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2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</row>
    <row r="699" ht="12.75" customHeight="1">
      <c r="A699" s="82"/>
      <c r="B699" s="82"/>
      <c r="C699" s="82"/>
      <c r="D699" s="83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2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</row>
    <row r="700" ht="12.75" customHeight="1">
      <c r="A700" s="82"/>
      <c r="B700" s="82"/>
      <c r="C700" s="82"/>
      <c r="D700" s="83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2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</row>
    <row r="701" ht="12.75" customHeight="1">
      <c r="A701" s="82"/>
      <c r="B701" s="82"/>
      <c r="C701" s="82"/>
      <c r="D701" s="83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2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</row>
    <row r="702" ht="12.75" customHeight="1">
      <c r="A702" s="82"/>
      <c r="B702" s="82"/>
      <c r="C702" s="82"/>
      <c r="D702" s="83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2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</row>
    <row r="703" ht="12.75" customHeight="1">
      <c r="A703" s="82"/>
      <c r="B703" s="82"/>
      <c r="C703" s="82"/>
      <c r="D703" s="83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2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</row>
    <row r="704" ht="12.75" customHeight="1">
      <c r="A704" s="82"/>
      <c r="B704" s="82"/>
      <c r="C704" s="82"/>
      <c r="D704" s="83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2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</row>
    <row r="705" ht="12.75" customHeight="1">
      <c r="A705" s="82"/>
      <c r="B705" s="82"/>
      <c r="C705" s="82"/>
      <c r="D705" s="83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2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</row>
    <row r="706" ht="12.75" customHeight="1">
      <c r="A706" s="82"/>
      <c r="B706" s="82"/>
      <c r="C706" s="82"/>
      <c r="D706" s="83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2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</row>
    <row r="707" ht="12.75" customHeight="1">
      <c r="A707" s="82"/>
      <c r="B707" s="82"/>
      <c r="C707" s="82"/>
      <c r="D707" s="83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2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</row>
    <row r="708" ht="12.75" customHeight="1">
      <c r="A708" s="82"/>
      <c r="B708" s="82"/>
      <c r="C708" s="82"/>
      <c r="D708" s="83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2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</row>
    <row r="709" ht="12.75" customHeight="1">
      <c r="A709" s="82"/>
      <c r="B709" s="82"/>
      <c r="C709" s="82"/>
      <c r="D709" s="83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2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</row>
    <row r="710" ht="12.75" customHeight="1">
      <c r="A710" s="82"/>
      <c r="B710" s="82"/>
      <c r="C710" s="82"/>
      <c r="D710" s="83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2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</row>
    <row r="711" ht="12.75" customHeight="1">
      <c r="A711" s="82"/>
      <c r="B711" s="82"/>
      <c r="C711" s="82"/>
      <c r="D711" s="83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2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</row>
    <row r="712" ht="12.75" customHeight="1">
      <c r="A712" s="82"/>
      <c r="B712" s="82"/>
      <c r="C712" s="82"/>
      <c r="D712" s="83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2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</row>
    <row r="713" ht="12.75" customHeight="1">
      <c r="A713" s="82"/>
      <c r="B713" s="82"/>
      <c r="C713" s="82"/>
      <c r="D713" s="83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2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</row>
    <row r="714" ht="12.75" customHeight="1">
      <c r="A714" s="82"/>
      <c r="B714" s="82"/>
      <c r="C714" s="82"/>
      <c r="D714" s="83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2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</row>
    <row r="715" ht="12.75" customHeight="1">
      <c r="A715" s="82"/>
      <c r="B715" s="82"/>
      <c r="C715" s="82"/>
      <c r="D715" s="83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2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</row>
    <row r="716" ht="12.75" customHeight="1">
      <c r="A716" s="82"/>
      <c r="B716" s="82"/>
      <c r="C716" s="82"/>
      <c r="D716" s="83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2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</row>
    <row r="717" ht="12.75" customHeight="1">
      <c r="A717" s="82"/>
      <c r="B717" s="82"/>
      <c r="C717" s="82"/>
      <c r="D717" s="83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2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</row>
    <row r="718" ht="12.75" customHeight="1">
      <c r="A718" s="82"/>
      <c r="B718" s="82"/>
      <c r="C718" s="82"/>
      <c r="D718" s="83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2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</row>
    <row r="719" ht="12.75" customHeight="1">
      <c r="A719" s="82"/>
      <c r="B719" s="82"/>
      <c r="C719" s="82"/>
      <c r="D719" s="83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2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</row>
    <row r="720" ht="12.75" customHeight="1">
      <c r="A720" s="82"/>
      <c r="B720" s="82"/>
      <c r="C720" s="82"/>
      <c r="D720" s="83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2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</row>
    <row r="721" ht="12.75" customHeight="1">
      <c r="A721" s="82"/>
      <c r="B721" s="82"/>
      <c r="C721" s="82"/>
      <c r="D721" s="83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2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</row>
    <row r="722" ht="12.75" customHeight="1">
      <c r="A722" s="82"/>
      <c r="B722" s="82"/>
      <c r="C722" s="82"/>
      <c r="D722" s="83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2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</row>
    <row r="723" ht="12.75" customHeight="1">
      <c r="A723" s="82"/>
      <c r="B723" s="82"/>
      <c r="C723" s="82"/>
      <c r="D723" s="83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2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</row>
    <row r="724" ht="12.75" customHeight="1">
      <c r="A724" s="82"/>
      <c r="B724" s="82"/>
      <c r="C724" s="82"/>
      <c r="D724" s="83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2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</row>
    <row r="725" ht="12.75" customHeight="1">
      <c r="A725" s="82"/>
      <c r="B725" s="82"/>
      <c r="C725" s="82"/>
      <c r="D725" s="83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2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</row>
    <row r="726" ht="12.75" customHeight="1">
      <c r="A726" s="82"/>
      <c r="B726" s="82"/>
      <c r="C726" s="82"/>
      <c r="D726" s="83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2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</row>
    <row r="727" ht="12.75" customHeight="1">
      <c r="A727" s="82"/>
      <c r="B727" s="82"/>
      <c r="C727" s="82"/>
      <c r="D727" s="83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2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</row>
    <row r="728" ht="12.75" customHeight="1">
      <c r="A728" s="82"/>
      <c r="B728" s="82"/>
      <c r="C728" s="82"/>
      <c r="D728" s="83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2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</row>
    <row r="729" ht="12.75" customHeight="1">
      <c r="A729" s="82"/>
      <c r="B729" s="82"/>
      <c r="C729" s="82"/>
      <c r="D729" s="83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2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</row>
    <row r="730" ht="12.75" customHeight="1">
      <c r="A730" s="82"/>
      <c r="B730" s="82"/>
      <c r="C730" s="82"/>
      <c r="D730" s="83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2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</row>
    <row r="731" ht="12.75" customHeight="1">
      <c r="A731" s="82"/>
      <c r="B731" s="82"/>
      <c r="C731" s="82"/>
      <c r="D731" s="83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2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</row>
    <row r="732" ht="12.75" customHeight="1">
      <c r="A732" s="82"/>
      <c r="B732" s="82"/>
      <c r="C732" s="82"/>
      <c r="D732" s="83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2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</row>
    <row r="733" ht="12.75" customHeight="1">
      <c r="A733" s="82"/>
      <c r="B733" s="82"/>
      <c r="C733" s="82"/>
      <c r="D733" s="83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2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</row>
    <row r="734" ht="12.75" customHeight="1">
      <c r="A734" s="82"/>
      <c r="B734" s="82"/>
      <c r="C734" s="82"/>
      <c r="D734" s="83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2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</row>
    <row r="735" ht="12.75" customHeight="1">
      <c r="A735" s="82"/>
      <c r="B735" s="82"/>
      <c r="C735" s="82"/>
      <c r="D735" s="83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2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</row>
    <row r="736" ht="12.75" customHeight="1">
      <c r="A736" s="82"/>
      <c r="B736" s="82"/>
      <c r="C736" s="82"/>
      <c r="D736" s="83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2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</row>
    <row r="737" ht="12.75" customHeight="1">
      <c r="A737" s="82"/>
      <c r="B737" s="82"/>
      <c r="C737" s="82"/>
      <c r="D737" s="83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2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</row>
    <row r="738" ht="12.75" customHeight="1">
      <c r="A738" s="82"/>
      <c r="B738" s="82"/>
      <c r="C738" s="82"/>
      <c r="D738" s="83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2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</row>
    <row r="739" ht="12.75" customHeight="1">
      <c r="A739" s="82"/>
      <c r="B739" s="82"/>
      <c r="C739" s="82"/>
      <c r="D739" s="83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2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</row>
    <row r="740" ht="12.75" customHeight="1">
      <c r="A740" s="82"/>
      <c r="B740" s="82"/>
      <c r="C740" s="82"/>
      <c r="D740" s="83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2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</row>
    <row r="741" ht="12.75" customHeight="1">
      <c r="A741" s="82"/>
      <c r="B741" s="82"/>
      <c r="C741" s="82"/>
      <c r="D741" s="83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2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</row>
    <row r="742" ht="12.75" customHeight="1">
      <c r="A742" s="82"/>
      <c r="B742" s="82"/>
      <c r="C742" s="82"/>
      <c r="D742" s="83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2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</row>
    <row r="743" ht="12.75" customHeight="1">
      <c r="A743" s="82"/>
      <c r="B743" s="82"/>
      <c r="C743" s="82"/>
      <c r="D743" s="83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2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</row>
    <row r="744" ht="12.75" customHeight="1">
      <c r="A744" s="82"/>
      <c r="B744" s="82"/>
      <c r="C744" s="82"/>
      <c r="D744" s="83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2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</row>
    <row r="745" ht="12.75" customHeight="1">
      <c r="A745" s="82"/>
      <c r="B745" s="82"/>
      <c r="C745" s="82"/>
      <c r="D745" s="83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2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</row>
    <row r="746" ht="12.75" customHeight="1">
      <c r="A746" s="82"/>
      <c r="B746" s="82"/>
      <c r="C746" s="82"/>
      <c r="D746" s="83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2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</row>
    <row r="747" ht="12.75" customHeight="1">
      <c r="A747" s="82"/>
      <c r="B747" s="82"/>
      <c r="C747" s="82"/>
      <c r="D747" s="83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2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</row>
    <row r="748" ht="12.75" customHeight="1">
      <c r="A748" s="82"/>
      <c r="B748" s="82"/>
      <c r="C748" s="82"/>
      <c r="D748" s="83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2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</row>
    <row r="749" ht="12.75" customHeight="1">
      <c r="A749" s="82"/>
      <c r="B749" s="82"/>
      <c r="C749" s="82"/>
      <c r="D749" s="83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2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</row>
    <row r="750" ht="12.75" customHeight="1">
      <c r="A750" s="82"/>
      <c r="B750" s="82"/>
      <c r="C750" s="82"/>
      <c r="D750" s="83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2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</row>
    <row r="751" ht="12.75" customHeight="1">
      <c r="A751" s="82"/>
      <c r="B751" s="82"/>
      <c r="C751" s="82"/>
      <c r="D751" s="83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2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</row>
    <row r="752" ht="12.75" customHeight="1">
      <c r="A752" s="82"/>
      <c r="B752" s="82"/>
      <c r="C752" s="82"/>
      <c r="D752" s="83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2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</row>
    <row r="753" ht="12.75" customHeight="1">
      <c r="A753" s="82"/>
      <c r="B753" s="82"/>
      <c r="C753" s="82"/>
      <c r="D753" s="83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2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</row>
    <row r="754" ht="12.75" customHeight="1">
      <c r="A754" s="82"/>
      <c r="B754" s="82"/>
      <c r="C754" s="82"/>
      <c r="D754" s="83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2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</row>
    <row r="755" ht="12.75" customHeight="1">
      <c r="A755" s="82"/>
      <c r="B755" s="82"/>
      <c r="C755" s="82"/>
      <c r="D755" s="83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2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</row>
    <row r="756" ht="12.75" customHeight="1">
      <c r="A756" s="82"/>
      <c r="B756" s="82"/>
      <c r="C756" s="82"/>
      <c r="D756" s="83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2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</row>
    <row r="757" ht="12.75" customHeight="1">
      <c r="A757" s="82"/>
      <c r="B757" s="82"/>
      <c r="C757" s="82"/>
      <c r="D757" s="83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2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</row>
    <row r="758" ht="12.75" customHeight="1">
      <c r="A758" s="82"/>
      <c r="B758" s="82"/>
      <c r="C758" s="82"/>
      <c r="D758" s="83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2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</row>
    <row r="759" ht="12.75" customHeight="1">
      <c r="A759" s="82"/>
      <c r="B759" s="82"/>
      <c r="C759" s="82"/>
      <c r="D759" s="83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2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</row>
    <row r="760" ht="12.75" customHeight="1">
      <c r="A760" s="82"/>
      <c r="B760" s="82"/>
      <c r="C760" s="82"/>
      <c r="D760" s="83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2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</row>
    <row r="761" ht="12.75" customHeight="1">
      <c r="A761" s="82"/>
      <c r="B761" s="82"/>
      <c r="C761" s="82"/>
      <c r="D761" s="83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2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</row>
    <row r="762" ht="12.75" customHeight="1">
      <c r="A762" s="82"/>
      <c r="B762" s="82"/>
      <c r="C762" s="82"/>
      <c r="D762" s="83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2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</row>
    <row r="763" ht="12.75" customHeight="1">
      <c r="A763" s="82"/>
      <c r="B763" s="82"/>
      <c r="C763" s="82"/>
      <c r="D763" s="83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2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</row>
    <row r="764" ht="12.75" customHeight="1">
      <c r="A764" s="82"/>
      <c r="B764" s="82"/>
      <c r="C764" s="82"/>
      <c r="D764" s="83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2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</row>
    <row r="765" ht="12.75" customHeight="1">
      <c r="A765" s="82"/>
      <c r="B765" s="82"/>
      <c r="C765" s="82"/>
      <c r="D765" s="83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2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</row>
    <row r="766" ht="12.75" customHeight="1">
      <c r="A766" s="82"/>
      <c r="B766" s="82"/>
      <c r="C766" s="82"/>
      <c r="D766" s="83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2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</row>
    <row r="767" ht="12.75" customHeight="1">
      <c r="A767" s="82"/>
      <c r="B767" s="82"/>
      <c r="C767" s="82"/>
      <c r="D767" s="83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2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</row>
    <row r="768" ht="12.75" customHeight="1">
      <c r="A768" s="82"/>
      <c r="B768" s="82"/>
      <c r="C768" s="82"/>
      <c r="D768" s="83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2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</row>
    <row r="769" ht="12.75" customHeight="1">
      <c r="A769" s="82"/>
      <c r="B769" s="82"/>
      <c r="C769" s="82"/>
      <c r="D769" s="83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2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</row>
    <row r="770" ht="12.75" customHeight="1">
      <c r="A770" s="82"/>
      <c r="B770" s="82"/>
      <c r="C770" s="82"/>
      <c r="D770" s="83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2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</row>
    <row r="771" ht="12.75" customHeight="1">
      <c r="A771" s="82"/>
      <c r="B771" s="82"/>
      <c r="C771" s="82"/>
      <c r="D771" s="83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2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</row>
    <row r="772" ht="12.75" customHeight="1">
      <c r="A772" s="82"/>
      <c r="B772" s="82"/>
      <c r="C772" s="82"/>
      <c r="D772" s="83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2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</row>
    <row r="773" ht="12.75" customHeight="1">
      <c r="A773" s="82"/>
      <c r="B773" s="82"/>
      <c r="C773" s="82"/>
      <c r="D773" s="83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2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</row>
    <row r="774" ht="12.75" customHeight="1">
      <c r="A774" s="82"/>
      <c r="B774" s="82"/>
      <c r="C774" s="82"/>
      <c r="D774" s="83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2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</row>
    <row r="775" ht="12.75" customHeight="1">
      <c r="A775" s="82"/>
      <c r="B775" s="82"/>
      <c r="C775" s="82"/>
      <c r="D775" s="83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2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</row>
    <row r="776" ht="12.75" customHeight="1">
      <c r="A776" s="82"/>
      <c r="B776" s="82"/>
      <c r="C776" s="82"/>
      <c r="D776" s="83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2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</row>
    <row r="777" ht="12.75" customHeight="1">
      <c r="A777" s="82"/>
      <c r="B777" s="82"/>
      <c r="C777" s="82"/>
      <c r="D777" s="83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2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</row>
    <row r="778" ht="12.75" customHeight="1">
      <c r="A778" s="82"/>
      <c r="B778" s="82"/>
      <c r="C778" s="82"/>
      <c r="D778" s="83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2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</row>
    <row r="779" ht="12.75" customHeight="1">
      <c r="A779" s="82"/>
      <c r="B779" s="82"/>
      <c r="C779" s="82"/>
      <c r="D779" s="83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2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</row>
    <row r="780" ht="12.75" customHeight="1">
      <c r="A780" s="82"/>
      <c r="B780" s="82"/>
      <c r="C780" s="82"/>
      <c r="D780" s="83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2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</row>
    <row r="781" ht="12.75" customHeight="1">
      <c r="A781" s="82"/>
      <c r="B781" s="82"/>
      <c r="C781" s="82"/>
      <c r="D781" s="83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2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</row>
    <row r="782" ht="12.75" customHeight="1">
      <c r="A782" s="82"/>
      <c r="B782" s="82"/>
      <c r="C782" s="82"/>
      <c r="D782" s="83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2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</row>
    <row r="783" ht="12.75" customHeight="1">
      <c r="A783" s="82"/>
      <c r="B783" s="82"/>
      <c r="C783" s="82"/>
      <c r="D783" s="83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2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</row>
    <row r="784" ht="12.75" customHeight="1">
      <c r="A784" s="82"/>
      <c r="B784" s="82"/>
      <c r="C784" s="82"/>
      <c r="D784" s="83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2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</row>
    <row r="785" ht="12.75" customHeight="1">
      <c r="A785" s="82"/>
      <c r="B785" s="82"/>
      <c r="C785" s="82"/>
      <c r="D785" s="83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2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</row>
    <row r="786" ht="12.75" customHeight="1">
      <c r="A786" s="82"/>
      <c r="B786" s="82"/>
      <c r="C786" s="82"/>
      <c r="D786" s="83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2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</row>
    <row r="787" ht="12.75" customHeight="1">
      <c r="A787" s="82"/>
      <c r="B787" s="82"/>
      <c r="C787" s="82"/>
      <c r="D787" s="83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2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</row>
    <row r="788" ht="12.75" customHeight="1">
      <c r="A788" s="82"/>
      <c r="B788" s="82"/>
      <c r="C788" s="82"/>
      <c r="D788" s="83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2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</row>
    <row r="789" ht="12.75" customHeight="1">
      <c r="A789" s="82"/>
      <c r="B789" s="82"/>
      <c r="C789" s="82"/>
      <c r="D789" s="83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2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</row>
    <row r="790" ht="12.75" customHeight="1">
      <c r="A790" s="82"/>
      <c r="B790" s="82"/>
      <c r="C790" s="82"/>
      <c r="D790" s="83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2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</row>
    <row r="791" ht="12.75" customHeight="1">
      <c r="A791" s="82"/>
      <c r="B791" s="82"/>
      <c r="C791" s="82"/>
      <c r="D791" s="83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2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</row>
    <row r="792" ht="12.75" customHeight="1">
      <c r="A792" s="82"/>
      <c r="B792" s="82"/>
      <c r="C792" s="82"/>
      <c r="D792" s="83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2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</row>
    <row r="793" ht="12.75" customHeight="1">
      <c r="A793" s="82"/>
      <c r="B793" s="82"/>
      <c r="C793" s="82"/>
      <c r="D793" s="83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2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</row>
    <row r="794" ht="12.75" customHeight="1">
      <c r="A794" s="82"/>
      <c r="B794" s="82"/>
      <c r="C794" s="82"/>
      <c r="D794" s="83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2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</row>
    <row r="795" ht="12.75" customHeight="1">
      <c r="A795" s="82"/>
      <c r="B795" s="82"/>
      <c r="C795" s="82"/>
      <c r="D795" s="83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2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</row>
    <row r="796" ht="12.75" customHeight="1">
      <c r="A796" s="82"/>
      <c r="B796" s="82"/>
      <c r="C796" s="82"/>
      <c r="D796" s="83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2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</row>
    <row r="797" ht="12.75" customHeight="1">
      <c r="A797" s="82"/>
      <c r="B797" s="82"/>
      <c r="C797" s="82"/>
      <c r="D797" s="83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2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</row>
    <row r="798" ht="12.75" customHeight="1">
      <c r="A798" s="82"/>
      <c r="B798" s="82"/>
      <c r="C798" s="82"/>
      <c r="D798" s="83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2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</row>
    <row r="799" ht="12.75" customHeight="1">
      <c r="A799" s="82"/>
      <c r="B799" s="82"/>
      <c r="C799" s="82"/>
      <c r="D799" s="83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2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</row>
    <row r="800" ht="12.75" customHeight="1">
      <c r="A800" s="82"/>
      <c r="B800" s="82"/>
      <c r="C800" s="82"/>
      <c r="D800" s="83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2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</row>
    <row r="801" ht="12.75" customHeight="1">
      <c r="A801" s="82"/>
      <c r="B801" s="82"/>
      <c r="C801" s="82"/>
      <c r="D801" s="83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2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</row>
    <row r="802" ht="12.75" customHeight="1">
      <c r="A802" s="82"/>
      <c r="B802" s="82"/>
      <c r="C802" s="82"/>
      <c r="D802" s="83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2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</row>
    <row r="803" ht="12.75" customHeight="1">
      <c r="A803" s="82"/>
      <c r="B803" s="82"/>
      <c r="C803" s="82"/>
      <c r="D803" s="83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2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</row>
    <row r="804" ht="12.75" customHeight="1">
      <c r="A804" s="82"/>
      <c r="B804" s="82"/>
      <c r="C804" s="82"/>
      <c r="D804" s="83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2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</row>
    <row r="805" ht="12.75" customHeight="1">
      <c r="A805" s="82"/>
      <c r="B805" s="82"/>
      <c r="C805" s="82"/>
      <c r="D805" s="83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2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</row>
    <row r="806" ht="12.75" customHeight="1">
      <c r="A806" s="82"/>
      <c r="B806" s="82"/>
      <c r="C806" s="82"/>
      <c r="D806" s="83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2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</row>
    <row r="807" ht="12.75" customHeight="1">
      <c r="A807" s="82"/>
      <c r="B807" s="82"/>
      <c r="C807" s="82"/>
      <c r="D807" s="83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2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</row>
    <row r="808" ht="12.75" customHeight="1">
      <c r="A808" s="82"/>
      <c r="B808" s="82"/>
      <c r="C808" s="82"/>
      <c r="D808" s="83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2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</row>
    <row r="809" ht="12.75" customHeight="1">
      <c r="A809" s="82"/>
      <c r="B809" s="82"/>
      <c r="C809" s="82"/>
      <c r="D809" s="83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2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</row>
    <row r="810" ht="12.75" customHeight="1">
      <c r="A810" s="82"/>
      <c r="B810" s="82"/>
      <c r="C810" s="82"/>
      <c r="D810" s="83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2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</row>
    <row r="811" ht="12.75" customHeight="1">
      <c r="A811" s="82"/>
      <c r="B811" s="82"/>
      <c r="C811" s="82"/>
      <c r="D811" s="83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2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</row>
    <row r="812" ht="12.75" customHeight="1">
      <c r="A812" s="82"/>
      <c r="B812" s="82"/>
      <c r="C812" s="82"/>
      <c r="D812" s="83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2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</row>
    <row r="813" ht="12.75" customHeight="1">
      <c r="A813" s="82"/>
      <c r="B813" s="82"/>
      <c r="C813" s="82"/>
      <c r="D813" s="83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2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</row>
    <row r="814" ht="12.75" customHeight="1">
      <c r="A814" s="82"/>
      <c r="B814" s="82"/>
      <c r="C814" s="82"/>
      <c r="D814" s="83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2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</row>
    <row r="815" ht="12.75" customHeight="1">
      <c r="A815" s="82"/>
      <c r="B815" s="82"/>
      <c r="C815" s="82"/>
      <c r="D815" s="83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2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</row>
    <row r="816" ht="12.75" customHeight="1">
      <c r="A816" s="82"/>
      <c r="B816" s="82"/>
      <c r="C816" s="82"/>
      <c r="D816" s="83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2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</row>
    <row r="817" ht="12.75" customHeight="1">
      <c r="A817" s="82"/>
      <c r="B817" s="82"/>
      <c r="C817" s="82"/>
      <c r="D817" s="83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2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</row>
    <row r="818" ht="12.75" customHeight="1">
      <c r="A818" s="82"/>
      <c r="B818" s="82"/>
      <c r="C818" s="82"/>
      <c r="D818" s="83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2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</row>
    <row r="819" ht="12.75" customHeight="1">
      <c r="A819" s="82"/>
      <c r="B819" s="82"/>
      <c r="C819" s="82"/>
      <c r="D819" s="83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2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</row>
    <row r="820" ht="12.75" customHeight="1">
      <c r="A820" s="82"/>
      <c r="B820" s="82"/>
      <c r="C820" s="82"/>
      <c r="D820" s="83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2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</row>
    <row r="821" ht="12.75" customHeight="1">
      <c r="A821" s="82"/>
      <c r="B821" s="82"/>
      <c r="C821" s="82"/>
      <c r="D821" s="83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2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</row>
    <row r="822" ht="12.75" customHeight="1">
      <c r="A822" s="82"/>
      <c r="B822" s="82"/>
      <c r="C822" s="82"/>
      <c r="D822" s="83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2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</row>
    <row r="823" ht="12.75" customHeight="1">
      <c r="A823" s="82"/>
      <c r="B823" s="82"/>
      <c r="C823" s="82"/>
      <c r="D823" s="83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2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</row>
    <row r="824" ht="12.75" customHeight="1">
      <c r="A824" s="82"/>
      <c r="B824" s="82"/>
      <c r="C824" s="82"/>
      <c r="D824" s="83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2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</row>
    <row r="825" ht="12.75" customHeight="1">
      <c r="A825" s="82"/>
      <c r="B825" s="82"/>
      <c r="C825" s="82"/>
      <c r="D825" s="83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2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</row>
    <row r="826" ht="12.75" customHeight="1">
      <c r="A826" s="82"/>
      <c r="B826" s="82"/>
      <c r="C826" s="82"/>
      <c r="D826" s="83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2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</row>
    <row r="827" ht="12.75" customHeight="1">
      <c r="A827" s="82"/>
      <c r="B827" s="82"/>
      <c r="C827" s="82"/>
      <c r="D827" s="83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2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</row>
    <row r="828" ht="12.75" customHeight="1">
      <c r="A828" s="82"/>
      <c r="B828" s="82"/>
      <c r="C828" s="82"/>
      <c r="D828" s="83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2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</row>
    <row r="829" ht="12.75" customHeight="1">
      <c r="A829" s="82"/>
      <c r="B829" s="82"/>
      <c r="C829" s="82"/>
      <c r="D829" s="83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2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</row>
    <row r="830" ht="12.75" customHeight="1">
      <c r="A830" s="82"/>
      <c r="B830" s="82"/>
      <c r="C830" s="82"/>
      <c r="D830" s="83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2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</row>
    <row r="831" ht="12.75" customHeight="1">
      <c r="A831" s="82"/>
      <c r="B831" s="82"/>
      <c r="C831" s="82"/>
      <c r="D831" s="83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2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</row>
    <row r="832" ht="12.75" customHeight="1">
      <c r="A832" s="82"/>
      <c r="B832" s="82"/>
      <c r="C832" s="82"/>
      <c r="D832" s="83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2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</row>
    <row r="833" ht="12.75" customHeight="1">
      <c r="A833" s="82"/>
      <c r="B833" s="82"/>
      <c r="C833" s="82"/>
      <c r="D833" s="83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2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</row>
    <row r="834" ht="12.75" customHeight="1">
      <c r="A834" s="82"/>
      <c r="B834" s="82"/>
      <c r="C834" s="82"/>
      <c r="D834" s="83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2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</row>
    <row r="835" ht="12.75" customHeight="1">
      <c r="A835" s="82"/>
      <c r="B835" s="82"/>
      <c r="C835" s="82"/>
      <c r="D835" s="83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2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</row>
    <row r="836" ht="12.75" customHeight="1">
      <c r="A836" s="82"/>
      <c r="B836" s="82"/>
      <c r="C836" s="82"/>
      <c r="D836" s="83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2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</row>
    <row r="837" ht="12.75" customHeight="1">
      <c r="A837" s="82"/>
      <c r="B837" s="82"/>
      <c r="C837" s="82"/>
      <c r="D837" s="83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2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</row>
    <row r="838" ht="12.75" customHeight="1">
      <c r="A838" s="82"/>
      <c r="B838" s="82"/>
      <c r="C838" s="82"/>
      <c r="D838" s="83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2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</row>
    <row r="839" ht="12.75" customHeight="1">
      <c r="A839" s="82"/>
      <c r="B839" s="82"/>
      <c r="C839" s="82"/>
      <c r="D839" s="83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2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</row>
    <row r="840" ht="12.75" customHeight="1">
      <c r="A840" s="82"/>
      <c r="B840" s="82"/>
      <c r="C840" s="82"/>
      <c r="D840" s="83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2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</row>
    <row r="841" ht="12.75" customHeight="1">
      <c r="A841" s="82"/>
      <c r="B841" s="82"/>
      <c r="C841" s="82"/>
      <c r="D841" s="83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2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</row>
    <row r="842" ht="12.75" customHeight="1">
      <c r="A842" s="82"/>
      <c r="B842" s="82"/>
      <c r="C842" s="82"/>
      <c r="D842" s="83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2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</row>
    <row r="843" ht="12.75" customHeight="1">
      <c r="A843" s="82"/>
      <c r="B843" s="82"/>
      <c r="C843" s="82"/>
      <c r="D843" s="83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2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</row>
    <row r="844" ht="12.75" customHeight="1">
      <c r="A844" s="82"/>
      <c r="B844" s="82"/>
      <c r="C844" s="82"/>
      <c r="D844" s="83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2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</row>
    <row r="845" ht="12.75" customHeight="1">
      <c r="A845" s="82"/>
      <c r="B845" s="82"/>
      <c r="C845" s="82"/>
      <c r="D845" s="83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2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</row>
    <row r="846" ht="12.75" customHeight="1">
      <c r="A846" s="82"/>
      <c r="B846" s="82"/>
      <c r="C846" s="82"/>
      <c r="D846" s="83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2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</row>
    <row r="847" ht="12.75" customHeight="1">
      <c r="A847" s="82"/>
      <c r="B847" s="82"/>
      <c r="C847" s="82"/>
      <c r="D847" s="83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2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</row>
    <row r="848" ht="12.75" customHeight="1">
      <c r="A848" s="82"/>
      <c r="B848" s="82"/>
      <c r="C848" s="82"/>
      <c r="D848" s="83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2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</row>
    <row r="849" ht="12.75" customHeight="1">
      <c r="A849" s="82"/>
      <c r="B849" s="82"/>
      <c r="C849" s="82"/>
      <c r="D849" s="83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2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</row>
    <row r="850" ht="12.75" customHeight="1">
      <c r="A850" s="82"/>
      <c r="B850" s="82"/>
      <c r="C850" s="82"/>
      <c r="D850" s="83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2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</row>
    <row r="851" ht="12.75" customHeight="1">
      <c r="A851" s="82"/>
      <c r="B851" s="82"/>
      <c r="C851" s="82"/>
      <c r="D851" s="83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2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</row>
    <row r="852" ht="12.75" customHeight="1">
      <c r="A852" s="82"/>
      <c r="B852" s="82"/>
      <c r="C852" s="82"/>
      <c r="D852" s="83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2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</row>
    <row r="853" ht="12.75" customHeight="1">
      <c r="A853" s="82"/>
      <c r="B853" s="82"/>
      <c r="C853" s="82"/>
      <c r="D853" s="83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2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</row>
    <row r="854" ht="12.75" customHeight="1">
      <c r="A854" s="82"/>
      <c r="B854" s="82"/>
      <c r="C854" s="82"/>
      <c r="D854" s="83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2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</row>
    <row r="855" ht="12.75" customHeight="1">
      <c r="A855" s="82"/>
      <c r="B855" s="82"/>
      <c r="C855" s="82"/>
      <c r="D855" s="83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2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</row>
    <row r="856" ht="12.75" customHeight="1">
      <c r="A856" s="82"/>
      <c r="B856" s="82"/>
      <c r="C856" s="82"/>
      <c r="D856" s="83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2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</row>
    <row r="857" ht="12.75" customHeight="1">
      <c r="A857" s="82"/>
      <c r="B857" s="82"/>
      <c r="C857" s="82"/>
      <c r="D857" s="83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2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</row>
    <row r="858" ht="12.75" customHeight="1">
      <c r="A858" s="82"/>
      <c r="B858" s="82"/>
      <c r="C858" s="82"/>
      <c r="D858" s="83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2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</row>
    <row r="859" ht="12.75" customHeight="1">
      <c r="A859" s="82"/>
      <c r="B859" s="82"/>
      <c r="C859" s="82"/>
      <c r="D859" s="83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2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</row>
    <row r="860" ht="12.75" customHeight="1">
      <c r="A860" s="82"/>
      <c r="B860" s="82"/>
      <c r="C860" s="82"/>
      <c r="D860" s="83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2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</row>
    <row r="861" ht="12.75" customHeight="1">
      <c r="A861" s="82"/>
      <c r="B861" s="82"/>
      <c r="C861" s="82"/>
      <c r="D861" s="83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2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</row>
    <row r="862" ht="12.75" customHeight="1">
      <c r="A862" s="82"/>
      <c r="B862" s="82"/>
      <c r="C862" s="82"/>
      <c r="D862" s="83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2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</row>
    <row r="863" ht="12.75" customHeight="1">
      <c r="A863" s="82"/>
      <c r="B863" s="82"/>
      <c r="C863" s="82"/>
      <c r="D863" s="83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2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</row>
    <row r="864" ht="12.75" customHeight="1">
      <c r="A864" s="82"/>
      <c r="B864" s="82"/>
      <c r="C864" s="82"/>
      <c r="D864" s="83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2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</row>
    <row r="865" ht="12.75" customHeight="1">
      <c r="A865" s="82"/>
      <c r="B865" s="82"/>
      <c r="C865" s="82"/>
      <c r="D865" s="83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2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</row>
    <row r="866" ht="12.75" customHeight="1">
      <c r="A866" s="82"/>
      <c r="B866" s="82"/>
      <c r="C866" s="82"/>
      <c r="D866" s="83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2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</row>
    <row r="867" ht="12.75" customHeight="1">
      <c r="A867" s="82"/>
      <c r="B867" s="82"/>
      <c r="C867" s="82"/>
      <c r="D867" s="83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2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</row>
    <row r="868" ht="12.75" customHeight="1">
      <c r="A868" s="82"/>
      <c r="B868" s="82"/>
      <c r="C868" s="82"/>
      <c r="D868" s="83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2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</row>
    <row r="869" ht="12.75" customHeight="1">
      <c r="A869" s="82"/>
      <c r="B869" s="82"/>
      <c r="C869" s="82"/>
      <c r="D869" s="83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2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</row>
    <row r="870" ht="12.75" customHeight="1">
      <c r="A870" s="82"/>
      <c r="B870" s="82"/>
      <c r="C870" s="82"/>
      <c r="D870" s="83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2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</row>
    <row r="871" ht="12.75" customHeight="1">
      <c r="A871" s="82"/>
      <c r="B871" s="82"/>
      <c r="C871" s="82"/>
      <c r="D871" s="83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2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</row>
    <row r="872" ht="12.75" customHeight="1">
      <c r="A872" s="82"/>
      <c r="B872" s="82"/>
      <c r="C872" s="82"/>
      <c r="D872" s="83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2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</row>
    <row r="873" ht="12.75" customHeight="1">
      <c r="A873" s="82"/>
      <c r="B873" s="82"/>
      <c r="C873" s="82"/>
      <c r="D873" s="83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2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</row>
    <row r="874" ht="12.75" customHeight="1">
      <c r="A874" s="82"/>
      <c r="B874" s="82"/>
      <c r="C874" s="82"/>
      <c r="D874" s="83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2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</row>
    <row r="875" ht="12.75" customHeight="1">
      <c r="A875" s="82"/>
      <c r="B875" s="82"/>
      <c r="C875" s="82"/>
      <c r="D875" s="83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2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</row>
    <row r="876" ht="12.75" customHeight="1">
      <c r="A876" s="82"/>
      <c r="B876" s="82"/>
      <c r="C876" s="82"/>
      <c r="D876" s="83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2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</row>
    <row r="877" ht="12.75" customHeight="1">
      <c r="A877" s="82"/>
      <c r="B877" s="82"/>
      <c r="C877" s="82"/>
      <c r="D877" s="83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2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</row>
    <row r="878" ht="12.75" customHeight="1">
      <c r="A878" s="82"/>
      <c r="B878" s="82"/>
      <c r="C878" s="82"/>
      <c r="D878" s="83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2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</row>
    <row r="879" ht="12.75" customHeight="1">
      <c r="A879" s="82"/>
      <c r="B879" s="82"/>
      <c r="C879" s="82"/>
      <c r="D879" s="83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2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</row>
    <row r="880" ht="12.75" customHeight="1">
      <c r="A880" s="82"/>
      <c r="B880" s="82"/>
      <c r="C880" s="82"/>
      <c r="D880" s="83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2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</row>
    <row r="881" ht="12.75" customHeight="1">
      <c r="A881" s="82"/>
      <c r="B881" s="82"/>
      <c r="C881" s="82"/>
      <c r="D881" s="83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2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</row>
    <row r="882" ht="12.75" customHeight="1">
      <c r="A882" s="82"/>
      <c r="B882" s="82"/>
      <c r="C882" s="82"/>
      <c r="D882" s="83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2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</row>
    <row r="883" ht="12.75" customHeight="1">
      <c r="A883" s="82"/>
      <c r="B883" s="82"/>
      <c r="C883" s="82"/>
      <c r="D883" s="83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2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</row>
    <row r="884" ht="12.75" customHeight="1">
      <c r="A884" s="82"/>
      <c r="B884" s="82"/>
      <c r="C884" s="82"/>
      <c r="D884" s="83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2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</row>
    <row r="885" ht="12.75" customHeight="1">
      <c r="A885" s="82"/>
      <c r="B885" s="82"/>
      <c r="C885" s="82"/>
      <c r="D885" s="83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2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</row>
    <row r="886" ht="12.75" customHeight="1">
      <c r="A886" s="82"/>
      <c r="B886" s="82"/>
      <c r="C886" s="82"/>
      <c r="D886" s="83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2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</row>
    <row r="887" ht="12.75" customHeight="1">
      <c r="A887" s="82"/>
      <c r="B887" s="82"/>
      <c r="C887" s="82"/>
      <c r="D887" s="83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2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</row>
    <row r="888" ht="12.75" customHeight="1">
      <c r="A888" s="82"/>
      <c r="B888" s="82"/>
      <c r="C888" s="82"/>
      <c r="D888" s="83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2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</row>
    <row r="889" ht="12.75" customHeight="1">
      <c r="A889" s="82"/>
      <c r="B889" s="82"/>
      <c r="C889" s="82"/>
      <c r="D889" s="83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2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</row>
    <row r="890" ht="12.75" customHeight="1">
      <c r="A890" s="82"/>
      <c r="B890" s="82"/>
      <c r="C890" s="82"/>
      <c r="D890" s="83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2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</row>
    <row r="891" ht="12.75" customHeight="1">
      <c r="A891" s="82"/>
      <c r="B891" s="82"/>
      <c r="C891" s="82"/>
      <c r="D891" s="83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2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</row>
    <row r="892" ht="12.75" customHeight="1">
      <c r="A892" s="82"/>
      <c r="B892" s="82"/>
      <c r="C892" s="82"/>
      <c r="D892" s="83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2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</row>
    <row r="893" ht="12.75" customHeight="1">
      <c r="A893" s="82"/>
      <c r="B893" s="82"/>
      <c r="C893" s="82"/>
      <c r="D893" s="83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2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</row>
    <row r="894" ht="12.75" customHeight="1">
      <c r="A894" s="82"/>
      <c r="B894" s="82"/>
      <c r="C894" s="82"/>
      <c r="D894" s="83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2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</row>
    <row r="895" ht="12.75" customHeight="1">
      <c r="A895" s="82"/>
      <c r="B895" s="82"/>
      <c r="C895" s="82"/>
      <c r="D895" s="83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2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</row>
    <row r="896" ht="12.75" customHeight="1">
      <c r="A896" s="82"/>
      <c r="B896" s="82"/>
      <c r="C896" s="82"/>
      <c r="D896" s="83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2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</row>
    <row r="897" ht="12.75" customHeight="1">
      <c r="A897" s="82"/>
      <c r="B897" s="82"/>
      <c r="C897" s="82"/>
      <c r="D897" s="83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2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</row>
    <row r="898" ht="12.75" customHeight="1">
      <c r="A898" s="82"/>
      <c r="B898" s="82"/>
      <c r="C898" s="82"/>
      <c r="D898" s="83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2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</row>
    <row r="899" ht="12.75" customHeight="1">
      <c r="A899" s="82"/>
      <c r="B899" s="82"/>
      <c r="C899" s="82"/>
      <c r="D899" s="83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2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</row>
    <row r="900" ht="12.75" customHeight="1">
      <c r="A900" s="82"/>
      <c r="B900" s="82"/>
      <c r="C900" s="82"/>
      <c r="D900" s="83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2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</row>
    <row r="901" ht="12.75" customHeight="1">
      <c r="A901" s="82"/>
      <c r="B901" s="82"/>
      <c r="C901" s="82"/>
      <c r="D901" s="83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2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</row>
    <row r="902" ht="12.75" customHeight="1">
      <c r="A902" s="82"/>
      <c r="B902" s="82"/>
      <c r="C902" s="82"/>
      <c r="D902" s="83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2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</row>
    <row r="903" ht="12.75" customHeight="1">
      <c r="A903" s="82"/>
      <c r="B903" s="82"/>
      <c r="C903" s="82"/>
      <c r="D903" s="83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2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</row>
    <row r="904" ht="12.75" customHeight="1">
      <c r="A904" s="82"/>
      <c r="B904" s="82"/>
      <c r="C904" s="82"/>
      <c r="D904" s="83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2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</row>
    <row r="905" ht="12.75" customHeight="1">
      <c r="A905" s="82"/>
      <c r="B905" s="82"/>
      <c r="C905" s="82"/>
      <c r="D905" s="83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2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</row>
    <row r="906" ht="12.75" customHeight="1">
      <c r="A906" s="82"/>
      <c r="B906" s="82"/>
      <c r="C906" s="82"/>
      <c r="D906" s="83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2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</row>
    <row r="907" ht="12.75" customHeight="1">
      <c r="A907" s="82"/>
      <c r="B907" s="82"/>
      <c r="C907" s="82"/>
      <c r="D907" s="83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2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</row>
    <row r="908" ht="12.75" customHeight="1">
      <c r="A908" s="82"/>
      <c r="B908" s="82"/>
      <c r="C908" s="82"/>
      <c r="D908" s="83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2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</row>
    <row r="909" ht="12.75" customHeight="1">
      <c r="A909" s="82"/>
      <c r="B909" s="82"/>
      <c r="C909" s="82"/>
      <c r="D909" s="83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2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</row>
    <row r="910" ht="12.75" customHeight="1">
      <c r="A910" s="82"/>
      <c r="B910" s="82"/>
      <c r="C910" s="82"/>
      <c r="D910" s="83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2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</row>
    <row r="911" ht="12.75" customHeight="1">
      <c r="A911" s="82"/>
      <c r="B911" s="82"/>
      <c r="C911" s="82"/>
      <c r="D911" s="83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2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</row>
    <row r="912" ht="12.75" customHeight="1">
      <c r="A912" s="82"/>
      <c r="B912" s="82"/>
      <c r="C912" s="82"/>
      <c r="D912" s="83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2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</row>
    <row r="913" ht="12.75" customHeight="1">
      <c r="A913" s="82"/>
      <c r="B913" s="82"/>
      <c r="C913" s="82"/>
      <c r="D913" s="83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2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</row>
    <row r="914" ht="12.75" customHeight="1">
      <c r="A914" s="82"/>
      <c r="B914" s="82"/>
      <c r="C914" s="82"/>
      <c r="D914" s="83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2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</row>
    <row r="915" ht="12.75" customHeight="1">
      <c r="A915" s="82"/>
      <c r="B915" s="82"/>
      <c r="C915" s="82"/>
      <c r="D915" s="83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2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</row>
    <row r="916" ht="12.75" customHeight="1">
      <c r="A916" s="82"/>
      <c r="B916" s="82"/>
      <c r="C916" s="82"/>
      <c r="D916" s="83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2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</row>
    <row r="917" ht="12.75" customHeight="1">
      <c r="A917" s="82"/>
      <c r="B917" s="82"/>
      <c r="C917" s="82"/>
      <c r="D917" s="83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2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</row>
    <row r="918" ht="12.75" customHeight="1">
      <c r="A918" s="82"/>
      <c r="B918" s="82"/>
      <c r="C918" s="82"/>
      <c r="D918" s="83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2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</row>
    <row r="919" ht="12.75" customHeight="1">
      <c r="A919" s="82"/>
      <c r="B919" s="82"/>
      <c r="C919" s="82"/>
      <c r="D919" s="83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2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</row>
    <row r="920" ht="12.75" customHeight="1">
      <c r="A920" s="82"/>
      <c r="B920" s="82"/>
      <c r="C920" s="82"/>
      <c r="D920" s="83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2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</row>
    <row r="921" ht="12.75" customHeight="1">
      <c r="A921" s="82"/>
      <c r="B921" s="82"/>
      <c r="C921" s="82"/>
      <c r="D921" s="83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2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</row>
    <row r="922" ht="12.75" customHeight="1">
      <c r="A922" s="82"/>
      <c r="B922" s="82"/>
      <c r="C922" s="82"/>
      <c r="D922" s="83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2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</row>
    <row r="923" ht="12.75" customHeight="1">
      <c r="A923" s="82"/>
      <c r="B923" s="82"/>
      <c r="C923" s="82"/>
      <c r="D923" s="83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2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</row>
    <row r="924" ht="12.75" customHeight="1">
      <c r="A924" s="82"/>
      <c r="B924" s="82"/>
      <c r="C924" s="82"/>
      <c r="D924" s="83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2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</row>
    <row r="925" ht="12.75" customHeight="1">
      <c r="A925" s="82"/>
      <c r="B925" s="82"/>
      <c r="C925" s="82"/>
      <c r="D925" s="83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2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</row>
    <row r="926" ht="12.75" customHeight="1">
      <c r="A926" s="82"/>
      <c r="B926" s="82"/>
      <c r="C926" s="82"/>
      <c r="D926" s="83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2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</row>
    <row r="927" ht="12.75" customHeight="1">
      <c r="A927" s="82"/>
      <c r="B927" s="82"/>
      <c r="C927" s="82"/>
      <c r="D927" s="83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2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</row>
    <row r="928" ht="12.75" customHeight="1">
      <c r="A928" s="82"/>
      <c r="B928" s="82"/>
      <c r="C928" s="82"/>
      <c r="D928" s="83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2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</row>
    <row r="929" ht="12.75" customHeight="1">
      <c r="A929" s="82"/>
      <c r="B929" s="82"/>
      <c r="C929" s="82"/>
      <c r="D929" s="83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2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</row>
    <row r="930" ht="12.75" customHeight="1">
      <c r="A930" s="82"/>
      <c r="B930" s="82"/>
      <c r="C930" s="82"/>
      <c r="D930" s="83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2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</row>
    <row r="931" ht="12.75" customHeight="1">
      <c r="A931" s="82"/>
      <c r="B931" s="82"/>
      <c r="C931" s="82"/>
      <c r="D931" s="83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2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</row>
    <row r="932" ht="12.75" customHeight="1">
      <c r="A932" s="82"/>
      <c r="B932" s="82"/>
      <c r="C932" s="82"/>
      <c r="D932" s="83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2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</row>
    <row r="933" ht="12.75" customHeight="1">
      <c r="A933" s="82"/>
      <c r="B933" s="82"/>
      <c r="C933" s="82"/>
      <c r="D933" s="83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2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</row>
    <row r="934" ht="12.75" customHeight="1">
      <c r="A934" s="82"/>
      <c r="B934" s="82"/>
      <c r="C934" s="82"/>
      <c r="D934" s="83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2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</row>
    <row r="935" ht="12.75" customHeight="1">
      <c r="A935" s="82"/>
      <c r="B935" s="82"/>
      <c r="C935" s="82"/>
      <c r="D935" s="83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2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</row>
    <row r="936" ht="12.75" customHeight="1">
      <c r="A936" s="82"/>
      <c r="B936" s="82"/>
      <c r="C936" s="82"/>
      <c r="D936" s="83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2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</row>
    <row r="937" ht="12.75" customHeight="1">
      <c r="A937" s="82"/>
      <c r="B937" s="82"/>
      <c r="C937" s="82"/>
      <c r="D937" s="83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2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</row>
    <row r="938" ht="12.75" customHeight="1">
      <c r="A938" s="82"/>
      <c r="B938" s="82"/>
      <c r="C938" s="82"/>
      <c r="D938" s="83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2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</row>
    <row r="939" ht="12.75" customHeight="1">
      <c r="A939" s="82"/>
      <c r="B939" s="82"/>
      <c r="C939" s="82"/>
      <c r="D939" s="83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2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</row>
    <row r="940" ht="12.75" customHeight="1">
      <c r="A940" s="82"/>
      <c r="B940" s="82"/>
      <c r="C940" s="82"/>
      <c r="D940" s="83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2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</row>
    <row r="941" ht="12.75" customHeight="1">
      <c r="A941" s="82"/>
      <c r="B941" s="82"/>
      <c r="C941" s="82"/>
      <c r="D941" s="83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2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</row>
    <row r="942" ht="12.75" customHeight="1">
      <c r="A942" s="82"/>
      <c r="B942" s="82"/>
      <c r="C942" s="82"/>
      <c r="D942" s="83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2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</row>
    <row r="943" ht="12.75" customHeight="1">
      <c r="A943" s="82"/>
      <c r="B943" s="82"/>
      <c r="C943" s="82"/>
      <c r="D943" s="83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2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</row>
    <row r="944" ht="12.75" customHeight="1">
      <c r="A944" s="82"/>
      <c r="B944" s="82"/>
      <c r="C944" s="82"/>
      <c r="D944" s="83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2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</row>
    <row r="945" ht="12.75" customHeight="1">
      <c r="A945" s="82"/>
      <c r="B945" s="82"/>
      <c r="C945" s="82"/>
      <c r="D945" s="83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2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</row>
    <row r="946" ht="12.75" customHeight="1">
      <c r="A946" s="82"/>
      <c r="B946" s="82"/>
      <c r="C946" s="82"/>
      <c r="D946" s="83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2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</row>
    <row r="947" ht="12.75" customHeight="1">
      <c r="A947" s="82"/>
      <c r="B947" s="82"/>
      <c r="C947" s="82"/>
      <c r="D947" s="83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2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</row>
    <row r="948" ht="12.75" customHeight="1">
      <c r="A948" s="82"/>
      <c r="B948" s="82"/>
      <c r="C948" s="82"/>
      <c r="D948" s="83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2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</row>
    <row r="949" ht="12.75" customHeight="1">
      <c r="A949" s="82"/>
      <c r="B949" s="82"/>
      <c r="C949" s="82"/>
      <c r="D949" s="83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2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</row>
    <row r="950" ht="12.75" customHeight="1">
      <c r="A950" s="82"/>
      <c r="B950" s="82"/>
      <c r="C950" s="82"/>
      <c r="D950" s="83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2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</row>
    <row r="951" ht="12.75" customHeight="1">
      <c r="A951" s="82"/>
      <c r="B951" s="82"/>
      <c r="C951" s="82"/>
      <c r="D951" s="83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2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</row>
    <row r="952" ht="12.75" customHeight="1">
      <c r="A952" s="82"/>
      <c r="B952" s="82"/>
      <c r="C952" s="82"/>
      <c r="D952" s="83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2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</row>
    <row r="953" ht="12.75" customHeight="1">
      <c r="A953" s="82"/>
      <c r="B953" s="82"/>
      <c r="C953" s="82"/>
      <c r="D953" s="83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2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</row>
    <row r="954" ht="12.75" customHeight="1">
      <c r="A954" s="82"/>
      <c r="B954" s="82"/>
      <c r="C954" s="82"/>
      <c r="D954" s="83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2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</row>
    <row r="955" ht="12.75" customHeight="1">
      <c r="A955" s="82"/>
      <c r="B955" s="82"/>
      <c r="C955" s="82"/>
      <c r="D955" s="83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2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</row>
    <row r="956" ht="12.75" customHeight="1">
      <c r="A956" s="82"/>
      <c r="B956" s="82"/>
      <c r="C956" s="82"/>
      <c r="D956" s="83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2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</row>
    <row r="957" ht="12.75" customHeight="1">
      <c r="A957" s="82"/>
      <c r="B957" s="82"/>
      <c r="C957" s="82"/>
      <c r="D957" s="83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2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</row>
    <row r="958" ht="12.75" customHeight="1">
      <c r="A958" s="82"/>
      <c r="B958" s="82"/>
      <c r="C958" s="82"/>
      <c r="D958" s="83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2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</row>
    <row r="959" ht="12.75" customHeight="1">
      <c r="A959" s="82"/>
      <c r="B959" s="82"/>
      <c r="C959" s="82"/>
      <c r="D959" s="83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2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</row>
    <row r="960" ht="12.75" customHeight="1">
      <c r="A960" s="82"/>
      <c r="B960" s="82"/>
      <c r="C960" s="82"/>
      <c r="D960" s="83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2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</row>
    <row r="961" ht="12.75" customHeight="1">
      <c r="A961" s="82"/>
      <c r="B961" s="82"/>
      <c r="C961" s="82"/>
      <c r="D961" s="83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2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</row>
    <row r="962" ht="12.75" customHeight="1">
      <c r="A962" s="82"/>
      <c r="B962" s="82"/>
      <c r="C962" s="82"/>
      <c r="D962" s="83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2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</row>
    <row r="963" ht="12.75" customHeight="1">
      <c r="A963" s="82"/>
      <c r="B963" s="82"/>
      <c r="C963" s="82"/>
      <c r="D963" s="83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2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</row>
    <row r="964" ht="12.75" customHeight="1">
      <c r="A964" s="82"/>
      <c r="B964" s="82"/>
      <c r="C964" s="82"/>
      <c r="D964" s="83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2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</row>
    <row r="965" ht="12.75" customHeight="1">
      <c r="A965" s="82"/>
      <c r="B965" s="82"/>
      <c r="C965" s="82"/>
      <c r="D965" s="83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2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</row>
    <row r="966" ht="12.75" customHeight="1">
      <c r="A966" s="82"/>
      <c r="B966" s="82"/>
      <c r="C966" s="82"/>
      <c r="D966" s="83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2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</row>
    <row r="967" ht="12.75" customHeight="1">
      <c r="A967" s="82"/>
      <c r="B967" s="82"/>
      <c r="C967" s="82"/>
      <c r="D967" s="83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2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</row>
    <row r="968" ht="12.75" customHeight="1">
      <c r="A968" s="82"/>
      <c r="B968" s="82"/>
      <c r="C968" s="82"/>
      <c r="D968" s="83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2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</row>
    <row r="969" ht="12.75" customHeight="1">
      <c r="A969" s="82"/>
      <c r="B969" s="82"/>
      <c r="C969" s="82"/>
      <c r="D969" s="83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2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</row>
    <row r="970" ht="12.75" customHeight="1">
      <c r="A970" s="82"/>
      <c r="B970" s="82"/>
      <c r="C970" s="82"/>
      <c r="D970" s="83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2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</row>
    <row r="971" ht="12.75" customHeight="1">
      <c r="A971" s="82"/>
      <c r="B971" s="82"/>
      <c r="C971" s="82"/>
      <c r="D971" s="83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2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</row>
    <row r="972" ht="12.75" customHeight="1">
      <c r="A972" s="82"/>
      <c r="B972" s="82"/>
      <c r="C972" s="82"/>
      <c r="D972" s="83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2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</row>
    <row r="973" ht="12.75" customHeight="1">
      <c r="A973" s="82"/>
      <c r="B973" s="82"/>
      <c r="C973" s="82"/>
      <c r="D973" s="83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2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</row>
    <row r="974" ht="12.75" customHeight="1">
      <c r="A974" s="82"/>
      <c r="B974" s="82"/>
      <c r="C974" s="82"/>
      <c r="D974" s="83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2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</row>
    <row r="975" ht="12.75" customHeight="1">
      <c r="A975" s="82"/>
      <c r="B975" s="82"/>
      <c r="C975" s="82"/>
      <c r="D975" s="83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2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</row>
    <row r="976" ht="12.75" customHeight="1">
      <c r="A976" s="82"/>
      <c r="B976" s="82"/>
      <c r="C976" s="82"/>
      <c r="D976" s="83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2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</row>
    <row r="977" ht="12.75" customHeight="1">
      <c r="A977" s="82"/>
      <c r="B977" s="82"/>
      <c r="C977" s="82"/>
      <c r="D977" s="83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2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</row>
    <row r="978" ht="12.75" customHeight="1">
      <c r="A978" s="82"/>
      <c r="B978" s="82"/>
      <c r="C978" s="82"/>
      <c r="D978" s="83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2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</row>
    <row r="979" ht="12.75" customHeight="1">
      <c r="A979" s="82"/>
      <c r="B979" s="82"/>
      <c r="C979" s="82"/>
      <c r="D979" s="83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2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</row>
    <row r="980" ht="12.75" customHeight="1">
      <c r="A980" s="82"/>
      <c r="B980" s="82"/>
      <c r="C980" s="82"/>
      <c r="D980" s="83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2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</row>
    <row r="981" ht="12.75" customHeight="1">
      <c r="A981" s="82"/>
      <c r="B981" s="82"/>
      <c r="C981" s="82"/>
      <c r="D981" s="83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2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</row>
    <row r="982" ht="12.75" customHeight="1">
      <c r="A982" s="82"/>
      <c r="B982" s="82"/>
      <c r="C982" s="82"/>
      <c r="D982" s="83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2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</row>
    <row r="983" ht="12.75" customHeight="1">
      <c r="A983" s="82"/>
      <c r="B983" s="82"/>
      <c r="C983" s="82"/>
      <c r="D983" s="83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2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</row>
    <row r="984" ht="12.75" customHeight="1">
      <c r="A984" s="82"/>
      <c r="B984" s="82"/>
      <c r="C984" s="82"/>
      <c r="D984" s="83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2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</row>
    <row r="985" ht="12.75" customHeight="1">
      <c r="A985" s="82"/>
      <c r="B985" s="82"/>
      <c r="C985" s="82"/>
      <c r="D985" s="83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2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</row>
    <row r="986" ht="12.75" customHeight="1">
      <c r="A986" s="82"/>
      <c r="B986" s="82"/>
      <c r="C986" s="82"/>
      <c r="D986" s="83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2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</row>
    <row r="987" ht="12.75" customHeight="1">
      <c r="A987" s="82"/>
      <c r="B987" s="82"/>
      <c r="C987" s="82"/>
      <c r="D987" s="83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2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</row>
    <row r="988" ht="12.75" customHeight="1">
      <c r="A988" s="82"/>
      <c r="B988" s="82"/>
      <c r="C988" s="82"/>
      <c r="D988" s="83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2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</row>
    <row r="989" ht="12.75" customHeight="1">
      <c r="A989" s="82"/>
      <c r="B989" s="82"/>
      <c r="C989" s="82"/>
      <c r="D989" s="83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2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</row>
    <row r="990" ht="12.75" customHeight="1">
      <c r="A990" s="82"/>
      <c r="B990" s="82"/>
      <c r="C990" s="82"/>
      <c r="D990" s="83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2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</row>
    <row r="991" ht="12.75" customHeight="1">
      <c r="A991" s="82"/>
      <c r="B991" s="82"/>
      <c r="C991" s="82"/>
      <c r="D991" s="83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2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</row>
    <row r="992" ht="12.75" customHeight="1">
      <c r="A992" s="82"/>
      <c r="B992" s="82"/>
      <c r="C992" s="82"/>
      <c r="D992" s="83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2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</row>
    <row r="993" ht="12.75" customHeight="1">
      <c r="A993" s="82"/>
      <c r="B993" s="82"/>
      <c r="C993" s="82"/>
      <c r="D993" s="83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2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</row>
    <row r="994" ht="12.75" customHeight="1">
      <c r="A994" s="82"/>
      <c r="B994" s="82"/>
      <c r="C994" s="82"/>
      <c r="D994" s="83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2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</row>
    <row r="995" ht="12.75" customHeight="1">
      <c r="A995" s="82"/>
      <c r="B995" s="82"/>
      <c r="C995" s="82"/>
      <c r="D995" s="83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2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</row>
    <row r="996" ht="12.75" customHeight="1">
      <c r="A996" s="82"/>
      <c r="B996" s="82"/>
      <c r="C996" s="82"/>
      <c r="D996" s="83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2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</row>
    <row r="997" ht="12.75" customHeight="1">
      <c r="A997" s="82"/>
      <c r="B997" s="82"/>
      <c r="C997" s="82"/>
      <c r="D997" s="83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2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</row>
    <row r="998" ht="12.75" customHeight="1">
      <c r="A998" s="82"/>
      <c r="B998" s="82"/>
      <c r="C998" s="82"/>
      <c r="D998" s="83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2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</row>
    <row r="999" ht="12.75" customHeight="1">
      <c r="A999" s="82"/>
      <c r="B999" s="82"/>
      <c r="C999" s="82"/>
      <c r="D999" s="83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2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</row>
    <row r="1000" ht="12.75" customHeight="1">
      <c r="A1000" s="82"/>
      <c r="B1000" s="82"/>
      <c r="C1000" s="82"/>
      <c r="D1000" s="83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2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</row>
  </sheetData>
  <mergeCells count="367">
    <mergeCell ref="P2:R2"/>
    <mergeCell ref="T2:U2"/>
    <mergeCell ref="F3:U16"/>
    <mergeCell ref="A1:C1"/>
    <mergeCell ref="D1:Q1"/>
    <mergeCell ref="R1:U1"/>
    <mergeCell ref="A2:C2"/>
    <mergeCell ref="D2:E2"/>
    <mergeCell ref="F2:H2"/>
    <mergeCell ref="I2:J2"/>
    <mergeCell ref="B3:E3"/>
    <mergeCell ref="B4:E4"/>
    <mergeCell ref="B5:E5"/>
    <mergeCell ref="B6:E6"/>
    <mergeCell ref="B7:E7"/>
    <mergeCell ref="B8:E8"/>
    <mergeCell ref="B9:D9"/>
    <mergeCell ref="A17:C17"/>
    <mergeCell ref="D17:E17"/>
    <mergeCell ref="F17:K17"/>
    <mergeCell ref="L17:Q17"/>
    <mergeCell ref="R17:U17"/>
    <mergeCell ref="A18:C18"/>
    <mergeCell ref="D18:E18"/>
    <mergeCell ref="F18:K18"/>
    <mergeCell ref="L18:Q18"/>
    <mergeCell ref="A19:C19"/>
    <mergeCell ref="D19:E19"/>
    <mergeCell ref="F19:K19"/>
    <mergeCell ref="B10:D10"/>
    <mergeCell ref="B11:E11"/>
    <mergeCell ref="B12:E12"/>
    <mergeCell ref="B13:E13"/>
    <mergeCell ref="B14:D14"/>
    <mergeCell ref="B15:E15"/>
    <mergeCell ref="B16:E16"/>
    <mergeCell ref="A38:C38"/>
    <mergeCell ref="D38:E38"/>
    <mergeCell ref="F38:K38"/>
    <mergeCell ref="L23:Q23"/>
    <mergeCell ref="L24:Q24"/>
    <mergeCell ref="L25:Q25"/>
    <mergeCell ref="L26:Q26"/>
    <mergeCell ref="L27:Q27"/>
    <mergeCell ref="L28:Q28"/>
    <mergeCell ref="L29:Q29"/>
    <mergeCell ref="L30:Q30"/>
    <mergeCell ref="L31:Q31"/>
    <mergeCell ref="L32:Q32"/>
    <mergeCell ref="L33:Q33"/>
    <mergeCell ref="L34:Q34"/>
    <mergeCell ref="L35:Q35"/>
    <mergeCell ref="L36:Q36"/>
    <mergeCell ref="D50:E50"/>
    <mergeCell ref="F50:K50"/>
    <mergeCell ref="A48:C48"/>
    <mergeCell ref="D48:E48"/>
    <mergeCell ref="F48:K48"/>
    <mergeCell ref="A49:C49"/>
    <mergeCell ref="D49:E49"/>
    <mergeCell ref="F49:K49"/>
    <mergeCell ref="A50:C50"/>
    <mergeCell ref="D37:E37"/>
    <mergeCell ref="F37:K37"/>
    <mergeCell ref="A35:C35"/>
    <mergeCell ref="D35:E35"/>
    <mergeCell ref="F35:K35"/>
    <mergeCell ref="A36:C36"/>
    <mergeCell ref="D36:E36"/>
    <mergeCell ref="F36:K36"/>
    <mergeCell ref="A37:C37"/>
    <mergeCell ref="D41:E41"/>
    <mergeCell ref="F41:K41"/>
    <mergeCell ref="A39:C39"/>
    <mergeCell ref="D39:E39"/>
    <mergeCell ref="F39:K39"/>
    <mergeCell ref="A40:C40"/>
    <mergeCell ref="D40:E40"/>
    <mergeCell ref="F40:K40"/>
    <mergeCell ref="A41:C41"/>
    <mergeCell ref="D44:E44"/>
    <mergeCell ref="F44:K44"/>
    <mergeCell ref="A42:C42"/>
    <mergeCell ref="D42:E42"/>
    <mergeCell ref="F42:K42"/>
    <mergeCell ref="A43:C43"/>
    <mergeCell ref="D43:E43"/>
    <mergeCell ref="F43:K43"/>
    <mergeCell ref="A44:C44"/>
    <mergeCell ref="A51:C51"/>
    <mergeCell ref="D51:E51"/>
    <mergeCell ref="F51:K51"/>
    <mergeCell ref="D60:E60"/>
    <mergeCell ref="F60:K60"/>
    <mergeCell ref="A58:C58"/>
    <mergeCell ref="D58:E58"/>
    <mergeCell ref="F58:K58"/>
    <mergeCell ref="A59:C59"/>
    <mergeCell ref="D59:E59"/>
    <mergeCell ref="F59:K59"/>
    <mergeCell ref="A60:C60"/>
    <mergeCell ref="D47:E47"/>
    <mergeCell ref="F47:K47"/>
    <mergeCell ref="A45:C45"/>
    <mergeCell ref="D45:E45"/>
    <mergeCell ref="F45:K45"/>
    <mergeCell ref="A46:C46"/>
    <mergeCell ref="D46:E46"/>
    <mergeCell ref="F46:K46"/>
    <mergeCell ref="A47:C47"/>
    <mergeCell ref="D54:E54"/>
    <mergeCell ref="F54:K54"/>
    <mergeCell ref="A52:C52"/>
    <mergeCell ref="D52:E52"/>
    <mergeCell ref="F52:K52"/>
    <mergeCell ref="A53:C53"/>
    <mergeCell ref="D53:E53"/>
    <mergeCell ref="F53:K53"/>
    <mergeCell ref="A54:C54"/>
    <mergeCell ref="D57:E57"/>
    <mergeCell ref="F57:K57"/>
    <mergeCell ref="A55:C55"/>
    <mergeCell ref="D55:E55"/>
    <mergeCell ref="F55:K55"/>
    <mergeCell ref="A56:C56"/>
    <mergeCell ref="D56:E56"/>
    <mergeCell ref="F56:K56"/>
    <mergeCell ref="A57:C57"/>
    <mergeCell ref="A61:C61"/>
    <mergeCell ref="D61:E61"/>
    <mergeCell ref="F61:K61"/>
    <mergeCell ref="D70:E70"/>
    <mergeCell ref="F70:K70"/>
    <mergeCell ref="A68:C68"/>
    <mergeCell ref="D68:E68"/>
    <mergeCell ref="F68:K68"/>
    <mergeCell ref="A69:C69"/>
    <mergeCell ref="D69:E69"/>
    <mergeCell ref="F69:K69"/>
    <mergeCell ref="A70:C70"/>
    <mergeCell ref="D34:E34"/>
    <mergeCell ref="F34:K34"/>
    <mergeCell ref="A32:C32"/>
    <mergeCell ref="D32:E32"/>
    <mergeCell ref="F32:K32"/>
    <mergeCell ref="A33:C33"/>
    <mergeCell ref="D33:E33"/>
    <mergeCell ref="F33:K33"/>
    <mergeCell ref="A34:C34"/>
    <mergeCell ref="D64:E64"/>
    <mergeCell ref="F64:K64"/>
    <mergeCell ref="A62:C62"/>
    <mergeCell ref="D62:E62"/>
    <mergeCell ref="F62:K62"/>
    <mergeCell ref="A63:C63"/>
    <mergeCell ref="D63:E63"/>
    <mergeCell ref="F63:K63"/>
    <mergeCell ref="A64:C64"/>
    <mergeCell ref="D67:E67"/>
    <mergeCell ref="F67:K67"/>
    <mergeCell ref="A65:C65"/>
    <mergeCell ref="D65:E65"/>
    <mergeCell ref="F65:K65"/>
    <mergeCell ref="A66:C66"/>
    <mergeCell ref="D66:E66"/>
    <mergeCell ref="F66:K66"/>
    <mergeCell ref="A67:C67"/>
    <mergeCell ref="A71:C71"/>
    <mergeCell ref="D71:E71"/>
    <mergeCell ref="F71:K71"/>
    <mergeCell ref="L63:Q63"/>
    <mergeCell ref="L64:Q64"/>
    <mergeCell ref="A72:C72"/>
    <mergeCell ref="D72:E72"/>
    <mergeCell ref="F72:K72"/>
    <mergeCell ref="D73:E73"/>
    <mergeCell ref="F73:K73"/>
    <mergeCell ref="A73:C73"/>
    <mergeCell ref="A74:C74"/>
    <mergeCell ref="D74:E74"/>
    <mergeCell ref="F74:K74"/>
    <mergeCell ref="A75:C75"/>
    <mergeCell ref="D75:E75"/>
    <mergeCell ref="F75:K75"/>
    <mergeCell ref="L51:Q51"/>
    <mergeCell ref="L52:Q52"/>
    <mergeCell ref="L53:Q53"/>
    <mergeCell ref="L54:Q54"/>
    <mergeCell ref="L55:Q55"/>
    <mergeCell ref="L56:Q56"/>
    <mergeCell ref="L57:Q57"/>
    <mergeCell ref="L58:Q58"/>
    <mergeCell ref="L59:Q59"/>
    <mergeCell ref="L60:Q60"/>
    <mergeCell ref="L61:Q61"/>
    <mergeCell ref="L62:Q62"/>
    <mergeCell ref="A79:C79"/>
    <mergeCell ref="D79:E79"/>
    <mergeCell ref="F79:K79"/>
    <mergeCell ref="L79:Q79"/>
    <mergeCell ref="D88:E88"/>
    <mergeCell ref="F88:K88"/>
    <mergeCell ref="A86:C86"/>
    <mergeCell ref="D86:E86"/>
    <mergeCell ref="F86:K86"/>
    <mergeCell ref="A87:C87"/>
    <mergeCell ref="D87:E87"/>
    <mergeCell ref="F87:K87"/>
    <mergeCell ref="A88:C88"/>
    <mergeCell ref="D78:E78"/>
    <mergeCell ref="F78:K78"/>
    <mergeCell ref="A76:C76"/>
    <mergeCell ref="D76:E76"/>
    <mergeCell ref="F76:K76"/>
    <mergeCell ref="A77:C77"/>
    <mergeCell ref="D77:E77"/>
    <mergeCell ref="F77:K77"/>
    <mergeCell ref="A78:C78"/>
    <mergeCell ref="D82:E82"/>
    <mergeCell ref="F82:K82"/>
    <mergeCell ref="A80:C80"/>
    <mergeCell ref="D80:E80"/>
    <mergeCell ref="F80:K80"/>
    <mergeCell ref="A81:C81"/>
    <mergeCell ref="D81:E81"/>
    <mergeCell ref="F81:K81"/>
    <mergeCell ref="A82:C82"/>
    <mergeCell ref="D85:E85"/>
    <mergeCell ref="F85:K85"/>
    <mergeCell ref="A83:C83"/>
    <mergeCell ref="D83:E83"/>
    <mergeCell ref="F83:K83"/>
    <mergeCell ref="A84:C84"/>
    <mergeCell ref="D84:E84"/>
    <mergeCell ref="F84:K84"/>
    <mergeCell ref="A85:C85"/>
    <mergeCell ref="A89:C89"/>
    <mergeCell ref="D89:E89"/>
    <mergeCell ref="F89:K89"/>
    <mergeCell ref="L80:Q80"/>
    <mergeCell ref="L81:Q81"/>
    <mergeCell ref="L82:Q82"/>
    <mergeCell ref="A90:C90"/>
    <mergeCell ref="D90:E90"/>
    <mergeCell ref="F90:K90"/>
    <mergeCell ref="A91:C91"/>
    <mergeCell ref="D91:E91"/>
    <mergeCell ref="F91:K91"/>
    <mergeCell ref="A92:C92"/>
    <mergeCell ref="D92:E92"/>
    <mergeCell ref="F92:K92"/>
    <mergeCell ref="D93:E93"/>
    <mergeCell ref="F93:K93"/>
    <mergeCell ref="L65:Q65"/>
    <mergeCell ref="L66:Q66"/>
    <mergeCell ref="L67:Q67"/>
    <mergeCell ref="L68:Q68"/>
    <mergeCell ref="L69:Q69"/>
    <mergeCell ref="L70:Q70"/>
    <mergeCell ref="L71:Q71"/>
    <mergeCell ref="L72:Q72"/>
    <mergeCell ref="L73:Q73"/>
    <mergeCell ref="L74:Q74"/>
    <mergeCell ref="L75:Q75"/>
    <mergeCell ref="L76:Q76"/>
    <mergeCell ref="A93:C93"/>
    <mergeCell ref="A94:C94"/>
    <mergeCell ref="D94:E94"/>
    <mergeCell ref="F94:K94"/>
    <mergeCell ref="A95:C95"/>
    <mergeCell ref="D95:E95"/>
    <mergeCell ref="F95:K95"/>
    <mergeCell ref="D22:E22"/>
    <mergeCell ref="F22:K22"/>
    <mergeCell ref="A20:C20"/>
    <mergeCell ref="D20:E20"/>
    <mergeCell ref="F20:K20"/>
    <mergeCell ref="A21:C21"/>
    <mergeCell ref="D21:E21"/>
    <mergeCell ref="F21:K21"/>
    <mergeCell ref="A22:C22"/>
    <mergeCell ref="D25:E25"/>
    <mergeCell ref="F25:K25"/>
    <mergeCell ref="A23:C23"/>
    <mergeCell ref="D23:E23"/>
    <mergeCell ref="F23:K23"/>
    <mergeCell ref="A24:C24"/>
    <mergeCell ref="D24:E24"/>
    <mergeCell ref="F24:K24"/>
    <mergeCell ref="A25:C25"/>
    <mergeCell ref="D28:E28"/>
    <mergeCell ref="F28:K28"/>
    <mergeCell ref="A26:C26"/>
    <mergeCell ref="D26:E26"/>
    <mergeCell ref="F26:K26"/>
    <mergeCell ref="A27:C27"/>
    <mergeCell ref="D27:E27"/>
    <mergeCell ref="F27:K27"/>
    <mergeCell ref="A28:C28"/>
    <mergeCell ref="D31:E31"/>
    <mergeCell ref="F31:K31"/>
    <mergeCell ref="A29:C29"/>
    <mergeCell ref="D29:E29"/>
    <mergeCell ref="F29:K29"/>
    <mergeCell ref="A30:C30"/>
    <mergeCell ref="D30:E30"/>
    <mergeCell ref="F30:K30"/>
    <mergeCell ref="A31:C31"/>
    <mergeCell ref="L37:Q37"/>
    <mergeCell ref="L38:Q38"/>
    <mergeCell ref="L39:Q39"/>
    <mergeCell ref="L40:Q40"/>
    <mergeCell ref="L41:Q41"/>
    <mergeCell ref="L42:Q42"/>
    <mergeCell ref="L43:Q43"/>
    <mergeCell ref="L44:Q44"/>
    <mergeCell ref="L45:Q45"/>
    <mergeCell ref="L46:Q46"/>
    <mergeCell ref="L47:Q47"/>
    <mergeCell ref="L48:Q48"/>
    <mergeCell ref="L49:Q49"/>
    <mergeCell ref="L50:Q50"/>
    <mergeCell ref="R81:U81"/>
    <mergeCell ref="R82:U98"/>
    <mergeCell ref="R99:U101"/>
    <mergeCell ref="R102:U104"/>
    <mergeCell ref="K2:M2"/>
    <mergeCell ref="N2:O2"/>
    <mergeCell ref="R18:U80"/>
    <mergeCell ref="L19:Q19"/>
    <mergeCell ref="L20:Q20"/>
    <mergeCell ref="L21:Q21"/>
    <mergeCell ref="L22:Q22"/>
    <mergeCell ref="L77:Q77"/>
    <mergeCell ref="L78:Q78"/>
    <mergeCell ref="L83:Q83"/>
    <mergeCell ref="L84:Q84"/>
    <mergeCell ref="L85:Q85"/>
    <mergeCell ref="L86:Q86"/>
    <mergeCell ref="L87:Q87"/>
    <mergeCell ref="L95:Q95"/>
    <mergeCell ref="L96:Q96"/>
    <mergeCell ref="L97:Q97"/>
    <mergeCell ref="L98:Q98"/>
    <mergeCell ref="L88:Q88"/>
    <mergeCell ref="L89:Q89"/>
    <mergeCell ref="L90:Q90"/>
    <mergeCell ref="L91:Q91"/>
    <mergeCell ref="L92:Q92"/>
    <mergeCell ref="L93:Q93"/>
    <mergeCell ref="L94:Q94"/>
    <mergeCell ref="A96:C96"/>
    <mergeCell ref="D96:E96"/>
    <mergeCell ref="F96:K96"/>
    <mergeCell ref="A97:C97"/>
    <mergeCell ref="D97:E97"/>
    <mergeCell ref="F97:K97"/>
    <mergeCell ref="A98:C98"/>
    <mergeCell ref="A136:U138"/>
    <mergeCell ref="A139:U162"/>
    <mergeCell ref="D98:E98"/>
    <mergeCell ref="F98:K98"/>
    <mergeCell ref="A99:Q104"/>
    <mergeCell ref="A107:Q110"/>
    <mergeCell ref="R107:U110"/>
    <mergeCell ref="A111:U134"/>
    <mergeCell ref="A135:U135"/>
  </mergeCells>
  <conditionalFormatting sqref="A19:A25 A36:A43">
    <cfRule type="expression" dxfId="0" priority="1">
      <formula>(#REF!="Drilling")</formula>
    </cfRule>
  </conditionalFormatting>
  <conditionalFormatting sqref="A26:A30">
    <cfRule type="expression" dxfId="0" priority="2">
      <formula>(#REF!="Drilling")</formula>
    </cfRule>
  </conditionalFormatting>
  <conditionalFormatting sqref="A31:A35">
    <cfRule type="expression" dxfId="0" priority="3">
      <formula>(#REF!="Drilling")</formula>
    </cfRule>
  </conditionalFormatting>
  <conditionalFormatting sqref="A60">
    <cfRule type="expression" dxfId="0" priority="4">
      <formula>(#REF!="Drilling")</formula>
    </cfRule>
  </conditionalFormatting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4">
      <c r="D14" s="1" t="s">
        <v>0</v>
      </c>
      <c r="I14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9" orientation="portrait"/>
  <drawing r:id="rId1"/>
</worksheet>
</file>